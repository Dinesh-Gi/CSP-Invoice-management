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urceedgesoftware-my.sharepoint.com/personal/shashank_b_ziniosedge_com/Documents/"/>
    </mc:Choice>
  </mc:AlternateContent>
  <xr:revisionPtr revIDLastSave="0" documentId="8_{DB8CC998-7099-4ACA-AE64-5DF468334B43}" xr6:coauthVersionLast="47" xr6:coauthVersionMax="47" xr10:uidLastSave="{00000000-0000-0000-0000-000000000000}"/>
  <bookViews>
    <workbookView xWindow="-110" yWindow="-110" windowWidth="19420" windowHeight="11500" firstSheet="1" xr2:uid="{00000000-000D-0000-FFFF-FFFF00000000}"/>
  </bookViews>
  <sheets>
    <sheet name="Dashboard" sheetId="4" r:id="rId1"/>
    <sheet name="Main Tracker" sheetId="1" r:id="rId2"/>
    <sheet name="Vendors" sheetId="2" r:id="rId3"/>
  </sheets>
  <definedNames>
    <definedName name="_xlnm._FilterDatabase" localSheetId="1" hidden="1">'Main Tracker'!$A$1:$S$1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103" i="1" l="1"/>
  <c r="N103" i="1"/>
  <c r="M103" i="1"/>
  <c r="O102" i="1"/>
  <c r="N102" i="1"/>
  <c r="M102" i="1"/>
  <c r="O101" i="1"/>
  <c r="N101" i="1"/>
  <c r="M101" i="1"/>
  <c r="H35" i="4" a="1"/>
  <c r="H35" i="4"/>
  <c r="G35" i="4" a="1"/>
  <c r="G35" i="4"/>
  <c r="F35" i="4" a="1"/>
  <c r="F35" i="4"/>
  <c r="E35" i="4" a="1"/>
  <c r="E35" i="4"/>
  <c r="D35" i="4" a="1"/>
  <c r="D35" i="4"/>
  <c r="C35" i="4" a="1"/>
  <c r="C35" i="4"/>
  <c r="B35" i="4" a="1"/>
  <c r="B35" i="4"/>
  <c r="H17" i="4" a="1"/>
  <c r="H17" i="4"/>
  <c r="G17" i="4" a="1"/>
  <c r="G17" i="4"/>
  <c r="F17" i="4" a="1"/>
  <c r="F17" i="4"/>
  <c r="E17" i="4" a="1"/>
  <c r="E17" i="4"/>
  <c r="D17" i="4" a="1"/>
  <c r="D17" i="4"/>
  <c r="C17" i="4" a="1"/>
  <c r="C17" i="4"/>
  <c r="B17" i="4" a="1"/>
  <c r="B17" i="4"/>
  <c r="B11" i="4"/>
  <c r="B10" i="4"/>
  <c r="B9" i="4"/>
  <c r="B8" i="4"/>
  <c r="B7" i="4"/>
  <c r="B12" i="4" s="1"/>
  <c r="A2" i="4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5" i="1"/>
  <c r="O54" i="1"/>
  <c r="O53" i="1"/>
  <c r="O51" i="1"/>
  <c r="O50" i="1"/>
  <c r="O49" i="1"/>
  <c r="O48" i="1"/>
  <c r="O47" i="1"/>
  <c r="O46" i="1"/>
  <c r="O45" i="1"/>
  <c r="O43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J100" i="1" a="1"/>
  <c r="J100" i="1" s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9" i="1" a="1"/>
  <c r="J59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47" i="1" a="1"/>
  <c r="J47" i="1" s="1"/>
  <c r="J46" i="1" a="1"/>
  <c r="J46" i="1" s="1"/>
  <c r="J45" i="1" a="1"/>
  <c r="J45" i="1" s="1"/>
  <c r="J44" i="1" a="1"/>
  <c r="J44" i="1" s="1"/>
  <c r="J43" i="1" a="1"/>
  <c r="J43" i="1" s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17" i="4" a="1"/>
  <c r="A17" i="4" s="1"/>
  <c r="N42" i="1"/>
  <c r="N41" i="1"/>
  <c r="N40" i="1"/>
  <c r="N35" i="1"/>
  <c r="N36" i="1"/>
  <c r="N37" i="1"/>
  <c r="N38" i="1"/>
  <c r="N39" i="1"/>
  <c r="A2" i="1"/>
  <c r="J36" i="1" a="1"/>
  <c r="J36" i="1" s="1"/>
  <c r="J35" i="1" a="1"/>
  <c r="J35" i="1" s="1"/>
  <c r="N34" i="1"/>
  <c r="M32" i="1"/>
  <c r="N32" i="1"/>
  <c r="M33" i="1"/>
  <c r="N33" i="1"/>
  <c r="M7" i="1"/>
  <c r="N7" i="1"/>
  <c r="O7" i="1"/>
  <c r="J5" i="1" a="1"/>
  <c r="J5" i="1"/>
  <c r="J6" i="1" a="1"/>
  <c r="J6" i="1"/>
  <c r="J7" i="1" a="1"/>
  <c r="J7" i="1"/>
  <c r="N29" i="1"/>
  <c r="N30" i="1"/>
  <c r="N31" i="1"/>
  <c r="N28" i="1"/>
  <c r="N27" i="1"/>
  <c r="N26" i="1"/>
  <c r="N24" i="1"/>
  <c r="N25" i="1"/>
  <c r="N23" i="1"/>
  <c r="N22" i="1"/>
  <c r="M23" i="1"/>
  <c r="M22" i="1"/>
  <c r="M21" i="1"/>
  <c r="M3" i="1"/>
  <c r="M4" i="1"/>
  <c r="M5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4" i="1"/>
  <c r="M25" i="1"/>
  <c r="M26" i="1"/>
  <c r="M27" i="1"/>
  <c r="M28" i="1"/>
  <c r="M29" i="1"/>
  <c r="M30" i="1"/>
  <c r="M31" i="1"/>
  <c r="M34" i="1"/>
  <c r="M35" i="1"/>
  <c r="M36" i="1"/>
  <c r="M37" i="1"/>
  <c r="M38" i="1"/>
  <c r="M39" i="1"/>
  <c r="M40" i="1"/>
  <c r="M41" i="1"/>
  <c r="M42" i="1"/>
  <c r="J42" i="1" a="1"/>
  <c r="J42" i="1"/>
  <c r="J41" i="1" a="1"/>
  <c r="J41" i="1"/>
  <c r="J40" i="1" a="1"/>
  <c r="J40" i="1"/>
  <c r="J39" i="1" a="1"/>
  <c r="J39" i="1"/>
  <c r="J38" i="1" a="1"/>
  <c r="J38" i="1"/>
  <c r="J37" i="1" a="1"/>
  <c r="J37" i="1"/>
  <c r="J34" i="1" a="1"/>
  <c r="J34" i="1"/>
  <c r="J33" i="1" a="1"/>
  <c r="J33" i="1"/>
  <c r="J32" i="1" a="1"/>
  <c r="J32" i="1"/>
  <c r="J31" i="1" a="1"/>
  <c r="J31" i="1"/>
  <c r="J30" i="1" a="1"/>
  <c r="J30" i="1"/>
  <c r="J29" i="1" a="1"/>
  <c r="J29" i="1"/>
  <c r="J28" i="1" a="1"/>
  <c r="J28" i="1"/>
  <c r="J27" i="1" a="1"/>
  <c r="J27" i="1"/>
  <c r="J26" i="1" a="1"/>
  <c r="J26" i="1"/>
  <c r="J25" i="1" a="1"/>
  <c r="J25" i="1"/>
  <c r="J24" i="1" a="1"/>
  <c r="J24" i="1"/>
  <c r="J23" i="1" a="1"/>
  <c r="J23" i="1"/>
  <c r="J22" i="1" a="1"/>
  <c r="J22" i="1"/>
  <c r="J21" i="1" a="1"/>
  <c r="J21" i="1"/>
  <c r="J20" i="1" a="1"/>
  <c r="J20" i="1"/>
  <c r="J19" i="1" a="1"/>
  <c r="J19" i="1"/>
  <c r="J18" i="1" a="1"/>
  <c r="J18" i="1"/>
  <c r="J17" i="1" a="1"/>
  <c r="J17" i="1"/>
  <c r="J16" i="1" a="1"/>
  <c r="J16" i="1"/>
  <c r="J15" i="1" a="1"/>
  <c r="J15" i="1"/>
  <c r="J14" i="1" a="1"/>
  <c r="J14" i="1"/>
  <c r="J13" i="1" a="1"/>
  <c r="J13" i="1"/>
  <c r="J12" i="1" a="1"/>
  <c r="J12" i="1"/>
  <c r="J11" i="1" a="1"/>
  <c r="J11" i="1"/>
  <c r="J10" i="1" a="1"/>
  <c r="J10" i="1"/>
  <c r="J9" i="1" a="1"/>
  <c r="J9" i="1"/>
  <c r="J8" i="1" a="1"/>
  <c r="J8" i="1"/>
  <c r="J4" i="1" a="1"/>
  <c r="J4" i="1"/>
  <c r="J3" i="1" a="1"/>
  <c r="J3" i="1"/>
  <c r="N20" i="1"/>
  <c r="O20" i="1"/>
  <c r="N21" i="1"/>
  <c r="O21" i="1"/>
  <c r="A3" i="1"/>
  <c r="A4" i="1"/>
  <c r="A5" i="1"/>
  <c r="A6" i="1"/>
  <c r="A8" i="1"/>
  <c r="A9" i="1"/>
  <c r="A10" i="1"/>
  <c r="A11" i="1"/>
  <c r="A12" i="1"/>
  <c r="A13" i="1"/>
  <c r="A14" i="1"/>
  <c r="A15" i="1"/>
  <c r="A16" i="1"/>
  <c r="A17" i="1"/>
  <c r="A18" i="1"/>
  <c r="A19" i="1"/>
  <c r="N3" i="1"/>
  <c r="O3" i="1"/>
  <c r="N4" i="1"/>
  <c r="O4" i="1"/>
  <c r="N5" i="1"/>
  <c r="O5" i="1"/>
  <c r="N6" i="1"/>
  <c r="O6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A35" i="4" l="1" a="1"/>
  <c r="A35" i="4" s="1"/>
  <c r="I35" i="4" a="1"/>
  <c r="I35" i="4" s="1"/>
  <c r="I17" i="4" a="1"/>
  <c r="I17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<sst xmlns="http://schemas.openxmlformats.org/spreadsheetml/2006/main" count="506" uniqueCount="150">
  <si>
    <t>📋 ZiniosEdge Invoice Status Dashboard</t>
  </si>
  <si>
    <t>📊 INVOICE STATUS SUMMARY</t>
  </si>
  <si>
    <t>Invoice Status</t>
  </si>
  <si>
    <t>Count</t>
  </si>
  <si>
    <t>Invoice Sent</t>
  </si>
  <si>
    <t>Pending</t>
  </si>
  <si>
    <t>Credit Note, Invoice on Aug 15</t>
  </si>
  <si>
    <t>Need to send Invoice</t>
  </si>
  <si>
    <t>Hold</t>
  </si>
  <si>
    <t>TOTAL</t>
  </si>
  <si>
    <t>⚠️ ACTION REQUIRED — All Invoices Not Yet Sent</t>
  </si>
  <si>
    <t>SL No.</t>
  </si>
  <si>
    <t>Date</t>
  </si>
  <si>
    <t>Customer</t>
  </si>
  <si>
    <t>License</t>
  </si>
  <si>
    <t>Qty</t>
  </si>
  <si>
    <t>Distributor</t>
  </si>
  <si>
    <t>Payment Status</t>
  </si>
  <si>
    <t>Amount</t>
  </si>
  <si>
    <t>✅ COMPLETED — Invoice Sent</t>
  </si>
  <si>
    <t>Date Loaded</t>
  </si>
  <si>
    <t>Customer Company Name</t>
  </si>
  <si>
    <t>PO Number</t>
  </si>
  <si>
    <t>Renewal /Prorate/Net New</t>
  </si>
  <si>
    <t>License Description</t>
  </si>
  <si>
    <t>Buy Price</t>
  </si>
  <si>
    <t>Sell Price</t>
  </si>
  <si>
    <t>Prorate Price</t>
  </si>
  <si>
    <t>prorate Period in Days</t>
  </si>
  <si>
    <t xml:space="preserve">Prorate Period </t>
  </si>
  <si>
    <t>Total Revenue</t>
  </si>
  <si>
    <t>P/L</t>
  </si>
  <si>
    <t>Margin %</t>
  </si>
  <si>
    <t>Backend Distributor</t>
  </si>
  <si>
    <t>Payment Received</t>
  </si>
  <si>
    <t>Remarks</t>
  </si>
  <si>
    <t>FinAks Advisory Pvt Ltd</t>
  </si>
  <si>
    <t>Prorate</t>
  </si>
  <si>
    <t>Apps for Business (Annual - Monthly)</t>
  </si>
  <si>
    <t>03/06/2026 to 27/06/2026</t>
  </si>
  <si>
    <t>Redington</t>
  </si>
  <si>
    <t>Yes</t>
  </si>
  <si>
    <t>17/06/2026 to 27/06/2026</t>
  </si>
  <si>
    <t>Cloudwave Technologies Pvt Ltd</t>
  </si>
  <si>
    <t>NA</t>
  </si>
  <si>
    <t>Business Basic (Annual - Annual )</t>
  </si>
  <si>
    <t>-</t>
  </si>
  <si>
    <t>Not Applicable</t>
  </si>
  <si>
    <t xml:space="preserve">PO Canceled </t>
  </si>
  <si>
    <t>MS Exchange Online Plan 2 (Annual - Annual)</t>
  </si>
  <si>
    <t>19/06/2026 to 24/03/2027</t>
  </si>
  <si>
    <t>SoftwareOne</t>
  </si>
  <si>
    <t>Invoice sent</t>
  </si>
  <si>
    <t>No</t>
  </si>
  <si>
    <t>Need to bill along with Aug month invoice</t>
  </si>
  <si>
    <t>Krisam Automation Pvt Ltd</t>
  </si>
  <si>
    <t>MS Exchange Online Plan 2 (Annual - Annual, add-on)</t>
  </si>
  <si>
    <t>22/06/2026 to 28/12/2026</t>
  </si>
  <si>
    <t>SRS Travels</t>
  </si>
  <si>
    <t>Renewal</t>
  </si>
  <si>
    <t>23/06/2026 to 22/06/2027</t>
  </si>
  <si>
    <t>Sudarrshan Tech Services</t>
  </si>
  <si>
    <t>01062326.TE</t>
  </si>
  <si>
    <t>Net New</t>
  </si>
  <si>
    <t>MS Copilot for Business (Annual - Annual)</t>
  </si>
  <si>
    <t>24/06/2026 to 23/06/2027</t>
  </si>
  <si>
    <t>26/06/2026 to 27/06/2026</t>
  </si>
  <si>
    <t>26/06/2026 to 25/02/2027</t>
  </si>
  <si>
    <t>Atomstrings</t>
  </si>
  <si>
    <t>30/06/2026 to 29/06/2027</t>
  </si>
  <si>
    <t>Dassworld</t>
  </si>
  <si>
    <t>Infiniminds Pvt Ltd</t>
  </si>
  <si>
    <t>IM/PO/2026-27/017</t>
  </si>
  <si>
    <t>INS LABS Pvt Ltd</t>
  </si>
  <si>
    <t>Exchange Online Plan 2</t>
  </si>
  <si>
    <t>NuGRP Solutions LLP</t>
  </si>
  <si>
    <t>NuGRP-2627-030</t>
  </si>
  <si>
    <t xml:space="preserve">Windows Server 2025 - 1 Device CAL </t>
  </si>
  <si>
    <t>Perpetual</t>
  </si>
  <si>
    <t>Tata Tele</t>
  </si>
  <si>
    <t xml:space="preserve">SQL Server 2025 Standard Edition </t>
  </si>
  <si>
    <t>SQL Server 2025 - 1 User CAL</t>
  </si>
  <si>
    <t>TechsharingB</t>
  </si>
  <si>
    <t>PO-TBU-202627-07</t>
  </si>
  <si>
    <t>Business Standard (no Teams) (Annual - Monthly)</t>
  </si>
  <si>
    <t>02/07/2026 to 01/08/2026</t>
  </si>
  <si>
    <t>Invoice need to be send every month till July -2027 as its Annual commitment and monthly billing</t>
  </si>
  <si>
    <t>Shreenaths Sustainables Pvt Ltd</t>
  </si>
  <si>
    <t>1/7/2026 to 1/2/2027</t>
  </si>
  <si>
    <t>PO-1017</t>
  </si>
  <si>
    <t>13/07/2026 to 12/07/2027</t>
  </si>
  <si>
    <t>50% of Invoice Received</t>
  </si>
  <si>
    <t>Exchange Online Plan 2 (Annual - Annual)</t>
  </si>
  <si>
    <t>23/07/2026 to 22/07/2027</t>
  </si>
  <si>
    <t>Need to send invoice</t>
  </si>
  <si>
    <t>Need to bill on 1st Sep</t>
  </si>
  <si>
    <t>Business Standard (Annual - Annual)</t>
  </si>
  <si>
    <t>Exchange Migration Activity (One-Time)</t>
  </si>
  <si>
    <t>Neo TVS</t>
  </si>
  <si>
    <t>27/07/2026 to 26/07/2027</t>
  </si>
  <si>
    <t>ER Brains IT Solutions</t>
  </si>
  <si>
    <t>D365 Business Central Premium (Annual - Monthly)</t>
  </si>
  <si>
    <t>Invoice need to be send every month till July -2027 as its Annual commitment and monthly billing (Bill for 7002.5 every month for 1 year)</t>
  </si>
  <si>
    <t>GRP Solutions</t>
  </si>
  <si>
    <t>Windows Server 2025 Datacenter - 16 Core - Edu</t>
  </si>
  <si>
    <t>Windows Server 2025 Standard - 16 Core - Edu</t>
  </si>
  <si>
    <t>SQL Server 2025 Standard Core - 2 Core - Edu</t>
  </si>
  <si>
    <t>Prepetual</t>
  </si>
  <si>
    <t>NexGen Robotics Automation</t>
  </si>
  <si>
    <t>05/08/2026 to 04/08/2027</t>
  </si>
  <si>
    <t>Whitepaper Solutions</t>
  </si>
  <si>
    <t>CNC India</t>
  </si>
  <si>
    <t>06/08/2026 to 05/08/2027</t>
  </si>
  <si>
    <t>07/08/2026 to 06/08/2027</t>
  </si>
  <si>
    <t>Need to send invoice on 1st Sep</t>
  </si>
  <si>
    <t>Business Basic (Monthly - Monthly )</t>
  </si>
  <si>
    <t>SQL Server 2025 Standard edition Perpetual 1 Server License</t>
  </si>
  <si>
    <t>10/08/2026 to 09/08/2027</t>
  </si>
  <si>
    <t>Shreenaths Renewables Pvt Ltd</t>
  </si>
  <si>
    <t>11/08/2026 to 10/08/2027</t>
  </si>
  <si>
    <t>QL Partners</t>
  </si>
  <si>
    <t>12/08/2026 to 11/08/2027</t>
  </si>
  <si>
    <t>AJM CNC Tool Tech</t>
  </si>
  <si>
    <t>12/08/2026 to 11/09/2026</t>
  </si>
  <si>
    <t>Caritor Solutions</t>
  </si>
  <si>
    <t>18/08/2026 to 17/08/2027</t>
  </si>
  <si>
    <t>EVVS Karnataka</t>
  </si>
  <si>
    <t>Utthunga Technologies Pvt Ltd</t>
  </si>
  <si>
    <t>Visual Studio Professional 2026</t>
  </si>
  <si>
    <t>Raise invoice, but agreed credit period is 30 days.</t>
  </si>
  <si>
    <t>19/08/2026 to 2/6/2027</t>
  </si>
  <si>
    <t>Academics and Beyond</t>
  </si>
  <si>
    <t>20/08/2026 to 19/08/2027</t>
  </si>
  <si>
    <t>Planner and Project Plan 3 (Annual - Annual)</t>
  </si>
  <si>
    <t>Teams Premium (Annual - Monthly)</t>
  </si>
  <si>
    <t>21/08/2026 to 20/08/2027</t>
  </si>
  <si>
    <t>30 days credit period</t>
  </si>
  <si>
    <t>24/08/2026 to 23/08/2027</t>
  </si>
  <si>
    <t>Malathi Venkat Enterprises</t>
  </si>
  <si>
    <t>Website Hosting Charges</t>
  </si>
  <si>
    <t>25/08/2026 to 24/08/2027</t>
  </si>
  <si>
    <t>Share the GST invoice to Neo TVS</t>
  </si>
  <si>
    <t>27/08/2026 to 26/08/2027</t>
  </si>
  <si>
    <t>Share the GST invoice to Sudarrshan Tech</t>
  </si>
  <si>
    <t>Business Standard (no Teams) (Annual - Annual)</t>
  </si>
  <si>
    <t>Exchange Online Archiving for Exchange Online (Annual - Annual)</t>
  </si>
  <si>
    <t>Windows Server 2025 - 1 Device CAL</t>
  </si>
  <si>
    <t>Distributors</t>
  </si>
  <si>
    <t>Customer List</t>
  </si>
  <si>
    <t>Credit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</si>
</sst>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0&quot;%&quot;"/>
    <numFmt numFmtId="166" formatCode="[$-409]d\-mmm\-yy;@"/>
    <numFmt numFmtId="167" formatCode="\₹#,##0.00;[Red]\-\₹#,##0.00;\₹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18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0" borderId="4" xfId="0" applyBorder="1"/>
    <xf numFmtId="0" fontId="0" fillId="0" borderId="2" xfId="0" applyBorder="1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5" xfId="0" applyBorder="1"/>
    <xf numFmtId="1" fontId="0" fillId="0" borderId="1" xfId="0" applyNumberFormat="1" applyBorder="1" applyAlignment="1">
      <alignment horizontal="left"/>
    </xf>
    <xf numFmtId="166" fontId="1" fillId="2" borderId="1" xfId="0" applyNumberFormat="1" applyFont="1" applyFill="1" applyBorder="1" applyAlignment="1">
      <alignment horizontal="left"/>
    </xf>
    <xf numFmtId="166" fontId="0" fillId="0" borderId="1" xfId="0" applyNumberFormat="1" applyBorder="1" applyAlignment="1">
      <alignment horizontal="left"/>
    </xf>
    <xf numFmtId="16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 vertical="top"/>
    </xf>
    <xf numFmtId="167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1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7" fillId="6" borderId="4" xfId="0" applyFont="1" applyFill="1" applyBorder="1"/>
    <xf numFmtId="0" fontId="1" fillId="7" borderId="4" xfId="0" applyFont="1" applyFill="1" applyBorder="1"/>
    <xf numFmtId="1" fontId="0" fillId="0" borderId="4" xfId="0" applyNumberFormat="1" applyBorder="1"/>
    <xf numFmtId="1" fontId="1" fillId="7" borderId="4" xfId="0" applyNumberFormat="1" applyFont="1" applyFill="1" applyBorder="1"/>
    <xf numFmtId="0" fontId="8" fillId="3" borderId="9" xfId="0" applyFont="1" applyFill="1" applyBorder="1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wrapText="1"/>
    </xf>
    <xf numFmtId="3" fontId="0" fillId="0" borderId="10" xfId="0" applyNumberFormat="1" applyBorder="1"/>
    <xf numFmtId="167" fontId="0" fillId="0" borderId="10" xfId="0" applyNumberFormat="1" applyBorder="1"/>
    <xf numFmtId="0" fontId="0" fillId="0" borderId="8" xfId="0" applyBorder="1"/>
    <xf numFmtId="164" fontId="0" fillId="0" borderId="8" xfId="0" applyNumberFormat="1" applyBorder="1"/>
    <xf numFmtId="0" fontId="0" fillId="0" borderId="8" xfId="0" applyBorder="1" applyAlignment="1">
      <alignment wrapText="1"/>
    </xf>
    <xf numFmtId="3" fontId="0" fillId="0" borderId="8" xfId="0" applyNumberFormat="1" applyBorder="1"/>
    <xf numFmtId="167" fontId="0" fillId="0" borderId="8" xfId="0" applyNumberFormat="1" applyBorder="1"/>
    <xf numFmtId="0" fontId="8" fillId="10" borderId="9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0" borderId="3" xfId="0" applyNumberFormat="1" applyBorder="1" applyAlignment="1">
      <alignment horizontal="left"/>
    </xf>
    <xf numFmtId="166" fontId="4" fillId="0" borderId="2" xfId="0" applyNumberFormat="1" applyFont="1" applyBorder="1" applyAlignment="1">
      <alignment horizontal="left"/>
    </xf>
    <xf numFmtId="166" fontId="4" fillId="0" borderId="5" xfId="0" applyNumberFormat="1" applyFont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4" borderId="0" xfId="0" applyFont="1" applyFill="1" applyAlignment="1"/>
    <xf numFmtId="0" fontId="3" fillId="0" borderId="0" xfId="0" applyFont="1" applyAlignment="1"/>
    <xf numFmtId="0" fontId="2" fillId="5" borderId="0" xfId="0" applyFont="1" applyFill="1" applyAlignment="1"/>
    <xf numFmtId="0" fontId="2" fillId="8" borderId="0" xfId="0" applyFont="1" applyFill="1" applyAlignment="1"/>
    <xf numFmtId="0" fontId="2" fillId="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3206-7EC6-4201-9BC1-16864CF7FEC9}">
  <dimension ref="A1:J72"/>
  <sheetViews>
    <sheetView tabSelected="1" topLeftCell="A10" workbookViewId="0">
      <selection activeCell="D23" sqref="D23"/>
    </sheetView>
  </sheetViews>
  <sheetFormatPr defaultRowHeight="14.45"/>
  <cols>
    <col min="1" max="1" width="28.28515625" bestFit="1" customWidth="1"/>
    <col min="2" max="2" width="16.140625" customWidth="1"/>
    <col min="3" max="3" width="32.42578125" customWidth="1"/>
    <col min="4" max="4" width="43.85546875" customWidth="1"/>
    <col min="5" max="5" width="14.140625" customWidth="1"/>
    <col min="6" max="6" width="19" customWidth="1"/>
    <col min="7" max="7" width="33.28515625" customWidth="1"/>
    <col min="8" max="8" width="16.85546875" customWidth="1"/>
    <col min="9" max="9" width="20" customWidth="1"/>
  </cols>
  <sheetData>
    <row r="1" spans="1:9" ht="32.25" customHeight="1">
      <c r="A1" s="69" t="s">
        <v>0</v>
      </c>
      <c r="B1" s="69"/>
      <c r="C1" s="69"/>
      <c r="D1" s="69"/>
      <c r="E1" s="69"/>
      <c r="F1" s="69"/>
      <c r="G1" s="69"/>
      <c r="H1" s="69"/>
      <c r="I1" s="69"/>
    </row>
    <row r="2" spans="1:9" ht="15">
      <c r="A2" s="70" t="str">
        <f ca="1">"Last Updated: "&amp;TEXT(TODAY(),"DD-MMM-YYYY")</f>
        <v>Last Updated: 02-Sep-2026</v>
      </c>
      <c r="B2" s="70"/>
      <c r="C2" s="70"/>
      <c r="D2" s="70"/>
      <c r="E2" s="70"/>
      <c r="F2" s="70"/>
      <c r="G2" s="70"/>
      <c r="H2" s="70"/>
      <c r="I2" s="70"/>
    </row>
    <row r="3" spans="1:9" ht="15"/>
    <row r="4" spans="1:9" ht="15">
      <c r="A4" s="71" t="s">
        <v>1</v>
      </c>
      <c r="B4" s="71"/>
      <c r="C4" s="71"/>
      <c r="D4" s="71"/>
      <c r="E4" s="71"/>
      <c r="F4" s="71"/>
      <c r="G4" s="71"/>
      <c r="H4" s="71"/>
      <c r="I4" s="71"/>
    </row>
    <row r="5" spans="1:9" ht="15"/>
    <row r="6" spans="1:9" ht="15">
      <c r="A6" s="28" t="s">
        <v>2</v>
      </c>
      <c r="B6" s="28" t="s">
        <v>3</v>
      </c>
    </row>
    <row r="7" spans="1:9" ht="15">
      <c r="A7" s="6" t="s">
        <v>4</v>
      </c>
      <c r="B7" s="30">
        <f>COUNTIF('Main Tracker'!Q3:Q100,A7)</f>
        <v>38</v>
      </c>
    </row>
    <row r="8" spans="1:9" ht="15">
      <c r="A8" s="6" t="s">
        <v>5</v>
      </c>
      <c r="B8" s="30">
        <f>COUNTIF('Main Tracker'!Q4:Q101,A8)</f>
        <v>0</v>
      </c>
    </row>
    <row r="9" spans="1:9" ht="15">
      <c r="A9" s="6" t="s">
        <v>6</v>
      </c>
      <c r="B9" s="30">
        <f>COUNTIF('Main Tracker'!Q5:Q102,A9)</f>
        <v>0</v>
      </c>
    </row>
    <row r="10" spans="1:9" ht="15">
      <c r="A10" s="6" t="s">
        <v>7</v>
      </c>
      <c r="B10" s="30">
        <f>COUNTIF('Main Tracker'!Q6:Q103,A10)</f>
        <v>12</v>
      </c>
    </row>
    <row r="11" spans="1:9" ht="15">
      <c r="A11" s="6" t="s">
        <v>8</v>
      </c>
      <c r="B11" s="30">
        <f>COUNTIF('Main Tracker'!Q7:Q104,A11)</f>
        <v>0</v>
      </c>
    </row>
    <row r="12" spans="1:9" ht="15">
      <c r="A12" s="29" t="s">
        <v>9</v>
      </c>
      <c r="B12" s="31">
        <f>SUM(B7:B11)</f>
        <v>50</v>
      </c>
    </row>
    <row r="13" spans="1:9" ht="15"/>
    <row r="14" spans="1:9" ht="15">
      <c r="A14" s="72" t="s">
        <v>10</v>
      </c>
      <c r="B14" s="72"/>
      <c r="C14" s="72"/>
      <c r="D14" s="72"/>
      <c r="E14" s="72"/>
      <c r="F14" s="72"/>
      <c r="G14" s="72"/>
      <c r="H14" s="72"/>
      <c r="I14" s="72"/>
    </row>
    <row r="15" spans="1:9" ht="15"/>
    <row r="16" spans="1:9" ht="15">
      <c r="A16" s="32" t="s">
        <v>11</v>
      </c>
      <c r="B16" s="32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2</v>
      </c>
      <c r="H16" s="32" t="s">
        <v>17</v>
      </c>
      <c r="I16" s="32" t="s">
        <v>18</v>
      </c>
    </row>
    <row r="17" spans="1:9" ht="15">
      <c r="A17" s="33" cm="1">
        <f t="array" ref="A17:A27">IFERROR(_xlfn._xlws.FILTER('Main Tracker'!A3:A100,('Main Tracker'!Q3:Q100&lt;&gt;"Invoice Sent")*('Main Tracker'!Q3:Q100&lt;&gt;""),""),"")</f>
        <v>21</v>
      </c>
      <c r="B17" s="34" cm="1">
        <f t="array" ref="B17:B27">IFERROR(_xlfn._xlws.FILTER('Main Tracker'!B3:B100,('Main Tracker'!Q3:Q100&lt;&gt;"Invoice Sent")*('Main Tracker'!Q3:Q100&lt;&gt;""),""),"")</f>
        <v>46226</v>
      </c>
      <c r="C17" s="35" t="str" cm="1">
        <f t="array" ref="C17:C27">IFERROR(_xlfn._xlws.FILTER('Main Tracker'!C3:C100,('Main Tracker'!Q3:Q100&lt;&gt;"Invoice Sent")*('Main Tracker'!Q3:Q100&lt;&gt;""),""),"")</f>
        <v>NuGRP Solutions LLP</v>
      </c>
      <c r="D17" s="35" t="str" cm="1">
        <f t="array" ref="D17:D27">IFERROR(_xlfn._xlws.FILTER('Main Tracker'!F3:F100,('Main Tracker'!Q3:Q100&lt;&gt;"Invoice Sent")*('Main Tracker'!Q3:Q100&lt;&gt;""),""),"")</f>
        <v>Business Basic (Annual - Annual )</v>
      </c>
      <c r="E17" s="36" cm="1">
        <f t="array" ref="E17:E27">IFERROR(_xlfn._xlws.FILTER('Main Tracker'!L3:L100,('Main Tracker'!Q3:Q100&lt;&gt;"Invoice Sent")*('Main Tracker'!Q3:Q100&lt;&gt;""),""),"")</f>
        <v>5</v>
      </c>
      <c r="F17" s="33" t="str" cm="1">
        <f t="array" ref="F17:F27">IFERROR(_xlfn._xlws.FILTER('Main Tracker'!P3:P100,('Main Tracker'!Q3:Q100&lt;&gt;"Invoice Sent")*('Main Tracker'!Q3:Q100&lt;&gt;""),""),"")</f>
        <v>Redington</v>
      </c>
      <c r="G17" s="35" t="str" cm="1">
        <f t="array" ref="G17:G27">IFERROR(_xlfn._xlws.FILTER('Main Tracker'!Q3:Q100,('Main Tracker'!Q3:Q100&lt;&gt;"Invoice Sent")*('Main Tracker'!Q3:Q100&lt;&gt;""),""),"")</f>
        <v>Need to send invoice</v>
      </c>
      <c r="H17" s="35" t="str" cm="1">
        <f t="array" ref="H17:H27">IFERROR(_xlfn._xlws.FILTER('Main Tracker'!R3:R100,('Main Tracker'!Q3:Q100&lt;&gt;"Invoice Sent")*('Main Tracker'!Q3:Q100&lt;&gt;""),""),"")</f>
        <v>No</v>
      </c>
      <c r="I17" s="37" cm="1">
        <f t="array" ref="I17:I27">IFERROR(_xlfn._xlws.FILTER('Main Tracker'!M3:M100,('Main Tracker'!Q3:Q100&lt;&gt;"Invoice Sent")*('Main Tracker'!Q3:Q100&lt;&gt;""),""),"")</f>
        <v>8201</v>
      </c>
    </row>
    <row r="18" spans="1:9" ht="15">
      <c r="A18" s="33">
        <v>0</v>
      </c>
      <c r="B18" s="34">
        <v>0</v>
      </c>
      <c r="C18" s="35">
        <v>0</v>
      </c>
      <c r="D18" s="35" t="str">
        <v>Business Standard (Annual - Annual)</v>
      </c>
      <c r="E18" s="36">
        <v>7</v>
      </c>
      <c r="F18" s="33" t="str">
        <v>Redington</v>
      </c>
      <c r="G18" s="35" t="str">
        <v>Need to send invoice</v>
      </c>
      <c r="H18" s="35" t="str">
        <v>No</v>
      </c>
      <c r="I18" s="37">
        <v>58081.099999999991</v>
      </c>
    </row>
    <row r="19" spans="1:9" ht="15">
      <c r="A19" s="33">
        <v>0</v>
      </c>
      <c r="B19" s="34">
        <v>0</v>
      </c>
      <c r="C19" s="35">
        <v>0</v>
      </c>
      <c r="D19" s="35" t="str">
        <v>Exchange Migration Activity (One-Time)</v>
      </c>
      <c r="E19" s="36">
        <v>12</v>
      </c>
      <c r="F19" s="33">
        <v>0</v>
      </c>
      <c r="G19" s="35" t="str">
        <v>Need to send invoice</v>
      </c>
      <c r="H19" s="35" t="str">
        <v>No</v>
      </c>
      <c r="I19" s="37">
        <v>3600</v>
      </c>
    </row>
    <row r="20" spans="1:9" ht="15">
      <c r="A20" s="33">
        <v>28</v>
      </c>
      <c r="B20" s="34">
        <v>46241</v>
      </c>
      <c r="C20" s="35" t="str">
        <v>GRP Solutions</v>
      </c>
      <c r="D20" s="35" t="str">
        <v>Business Basic (Annual - Annual )</v>
      </c>
      <c r="E20" s="36">
        <v>2</v>
      </c>
      <c r="F20" s="33" t="str">
        <v>SoftwareOne</v>
      </c>
      <c r="G20" s="35" t="str">
        <v>Need to send invoice</v>
      </c>
      <c r="H20" s="35" t="str">
        <v>No</v>
      </c>
      <c r="I20" s="37">
        <v>3280.4</v>
      </c>
    </row>
    <row r="21" spans="1:9" ht="15">
      <c r="A21" s="33">
        <v>29</v>
      </c>
      <c r="B21" s="34">
        <v>46241</v>
      </c>
      <c r="C21" s="35" t="str">
        <v>NuGRP Solutions LLP</v>
      </c>
      <c r="D21" s="35" t="str">
        <v>Business Basic (Monthly - Monthly )</v>
      </c>
      <c r="E21" s="36">
        <v>2</v>
      </c>
      <c r="F21" s="33" t="str">
        <v>SoftwareOne</v>
      </c>
      <c r="G21" s="35" t="str">
        <v>Need to send invoice</v>
      </c>
      <c r="H21" s="35" t="str">
        <v>No</v>
      </c>
      <c r="I21" s="37">
        <v>340</v>
      </c>
    </row>
    <row r="22" spans="1:9" ht="15">
      <c r="A22" s="33">
        <v>44</v>
      </c>
      <c r="B22" s="34">
        <v>46252</v>
      </c>
      <c r="C22" s="35" t="str">
        <v>Caritor Solutions</v>
      </c>
      <c r="D22" s="35" t="str">
        <v>Business Basic (Annual - Annual )</v>
      </c>
      <c r="E22" s="36">
        <v>1</v>
      </c>
      <c r="F22" s="33" t="str">
        <v>SoftwareOne</v>
      </c>
      <c r="G22" s="35" t="str">
        <v>Need to send invoice</v>
      </c>
      <c r="H22" s="35" t="str">
        <v>No</v>
      </c>
      <c r="I22" s="37">
        <v>1632</v>
      </c>
    </row>
    <row r="23" spans="1:9" ht="15">
      <c r="A23" s="33">
        <v>46</v>
      </c>
      <c r="B23" s="34">
        <v>46253</v>
      </c>
      <c r="C23" s="35" t="str">
        <v>INS LABS Pvt Ltd</v>
      </c>
      <c r="D23" s="35" t="str">
        <v>Business Basic (Annual - Annual )</v>
      </c>
      <c r="E23" s="36">
        <v>8</v>
      </c>
      <c r="F23" s="33" t="str">
        <v>SoftwareOne</v>
      </c>
      <c r="G23" s="35" t="str">
        <v>Need to send invoice</v>
      </c>
      <c r="H23" s="35" t="str">
        <v>No</v>
      </c>
      <c r="I23" s="37">
        <v>8786.7999999999993</v>
      </c>
    </row>
    <row r="24" spans="1:9" ht="15">
      <c r="A24" s="33">
        <v>47</v>
      </c>
      <c r="B24" s="34">
        <v>46254</v>
      </c>
      <c r="C24" s="35" t="str">
        <v>Academics and Beyond</v>
      </c>
      <c r="D24" s="35" t="str">
        <v>Business Standard (Annual - Annual)</v>
      </c>
      <c r="E24" s="36">
        <v>1</v>
      </c>
      <c r="F24" s="33" t="str">
        <v>SoftwareOne</v>
      </c>
      <c r="G24" s="35" t="str">
        <v>Need to send invoice</v>
      </c>
      <c r="H24" s="35" t="str">
        <v>No</v>
      </c>
      <c r="I24" s="37">
        <v>8379.84</v>
      </c>
    </row>
    <row r="25" spans="1:9" ht="15">
      <c r="A25" s="33">
        <v>49</v>
      </c>
      <c r="B25" s="34">
        <v>46255</v>
      </c>
      <c r="C25" s="35" t="str">
        <v>ER Brains IT Solutions</v>
      </c>
      <c r="D25" s="35" t="str">
        <v>Teams Premium (Annual - Monthly)</v>
      </c>
      <c r="E25" s="36">
        <v>3</v>
      </c>
      <c r="F25" s="33" t="str">
        <v>SoftwareOne</v>
      </c>
      <c r="G25" s="35" t="str">
        <v>Need to send invoice</v>
      </c>
      <c r="H25" s="35" t="str">
        <v>No</v>
      </c>
      <c r="I25" s="37">
        <v>2151.597546</v>
      </c>
    </row>
    <row r="26" spans="1:9" ht="15">
      <c r="A26" s="33">
        <v>51</v>
      </c>
      <c r="B26" s="34">
        <v>46258</v>
      </c>
      <c r="C26" s="35" t="str">
        <v>SRS Travels</v>
      </c>
      <c r="D26" s="35" t="str">
        <v>Business Basic (Annual - Annual )</v>
      </c>
      <c r="E26" s="36">
        <v>8</v>
      </c>
      <c r="F26" s="33" t="str">
        <v>SoftwareOne</v>
      </c>
      <c r="G26" s="35" t="str">
        <v>Need to send invoice</v>
      </c>
      <c r="H26" s="35" t="str">
        <v>No</v>
      </c>
      <c r="I26" s="37">
        <v>12925.44</v>
      </c>
    </row>
    <row r="27" spans="1:9" ht="15">
      <c r="A27" s="33">
        <v>52</v>
      </c>
      <c r="B27" s="34">
        <v>46258</v>
      </c>
      <c r="C27" s="35" t="str">
        <v>Caritor Solutions</v>
      </c>
      <c r="D27" s="35" t="str">
        <v>Business Basic (Annual - Annual )</v>
      </c>
      <c r="E27" s="36">
        <v>40</v>
      </c>
      <c r="F27" s="33" t="str">
        <v>SoftwareOne</v>
      </c>
      <c r="G27" s="35" t="str">
        <v>Need to send invoice</v>
      </c>
      <c r="H27" s="35" t="str">
        <v>No</v>
      </c>
      <c r="I27" s="37">
        <v>64300.800000000003</v>
      </c>
    </row>
    <row r="28" spans="1:9" ht="15">
      <c r="A28" s="33"/>
      <c r="B28" s="34"/>
      <c r="C28" s="35"/>
      <c r="D28" s="35"/>
      <c r="E28" s="36"/>
      <c r="F28" s="33"/>
      <c r="G28" s="35"/>
      <c r="H28" s="35"/>
      <c r="I28" s="37"/>
    </row>
    <row r="29" spans="1:9" ht="15">
      <c r="A29" s="38"/>
      <c r="B29" s="39"/>
      <c r="C29" s="40"/>
      <c r="D29" s="40"/>
      <c r="E29" s="41"/>
      <c r="F29" s="38"/>
      <c r="G29" s="40"/>
      <c r="H29" s="40"/>
      <c r="I29" s="42"/>
    </row>
    <row r="30" spans="1:9" ht="15"/>
    <row r="31" spans="1:9" ht="15"/>
    <row r="32" spans="1:9" ht="15">
      <c r="A32" s="73" t="s">
        <v>19</v>
      </c>
      <c r="B32" s="73"/>
      <c r="C32" s="73"/>
      <c r="D32" s="73"/>
      <c r="E32" s="73"/>
      <c r="F32" s="73"/>
      <c r="G32" s="73"/>
      <c r="H32" s="73"/>
      <c r="I32" s="73"/>
    </row>
    <row r="33" spans="1:10" ht="15"/>
    <row r="34" spans="1:10" ht="15">
      <c r="A34" s="43" t="s">
        <v>11</v>
      </c>
      <c r="B34" s="43" t="s">
        <v>12</v>
      </c>
      <c r="C34" s="43" t="s">
        <v>13</v>
      </c>
      <c r="D34" s="43" t="s">
        <v>14</v>
      </c>
      <c r="E34" s="43" t="s">
        <v>15</v>
      </c>
      <c r="F34" s="43" t="s">
        <v>16</v>
      </c>
      <c r="G34" s="43" t="s">
        <v>2</v>
      </c>
      <c r="H34" s="43" t="s">
        <v>17</v>
      </c>
      <c r="I34" s="43" t="s">
        <v>18</v>
      </c>
    </row>
    <row r="35" spans="1:10" ht="15">
      <c r="A35" s="33" cm="1">
        <f t="array" ref="A35:A72">IFERROR(_xlfn._xlws.FILTER('Main Tracker'!A3:A100,'Main Tracker'!Q3:Q100="Invoice Sent",""),"")</f>
        <v>1</v>
      </c>
      <c r="B35" s="34" cm="1">
        <f t="array" ref="B35:B72">IFERROR(_xlfn._xlws.FILTER('Main Tracker'!B3:B100,'Main Tracker'!Q3:Q100="Invoice Sent",""),"")</f>
        <v>46087</v>
      </c>
      <c r="C35" s="35" t="str" cm="1">
        <f t="array" ref="C35:C72">IFERROR(_xlfn._xlws.FILTER('Main Tracker'!C3:C100,'Main Tracker'!Q3:Q100="Invoice Sent",""),"")</f>
        <v>FinAks Advisory Pvt Ltd</v>
      </c>
      <c r="D35" s="35" t="str" cm="1">
        <f t="array" ref="D35:D72">IFERROR(_xlfn._xlws.FILTER('Main Tracker'!F3:F100,'Main Tracker'!Q3:Q100="Invoice Sent",""),"")</f>
        <v>Apps for Business (Annual - Monthly)</v>
      </c>
      <c r="E35" s="36" cm="1">
        <f t="array" ref="E35:E72">IFERROR(_xlfn._xlws.FILTER('Main Tracker'!L3:L100,'Main Tracker'!Q3:Q100="Invoice Sent",""),"")</f>
        <v>1</v>
      </c>
      <c r="F35" s="33" t="str" cm="1">
        <f t="array" ref="F35:F72">IFERROR(_xlfn._xlws.FILTER('Main Tracker'!P3:P100,'Main Tracker'!Q3:Q100="Invoice Sent",""),"")</f>
        <v>Redington</v>
      </c>
      <c r="G35" s="35" t="str" cm="1">
        <f t="array" ref="G35:G72">IFERROR(_xlfn._xlws.FILTER('Main Tracker'!Q3:Q100,'Main Tracker'!Q3:Q100="Invoice Sent",""),"")</f>
        <v>Invoice Sent</v>
      </c>
      <c r="H35" s="35" t="str" cm="1">
        <f t="array" ref="H35:H72">IFERROR(_xlfn._xlws.FILTER('Main Tracker'!R3:R100,'Main Tracker'!Q3:Q100="Invoice Sent",""),"")</f>
        <v>Yes</v>
      </c>
      <c r="I35" s="37" cm="1">
        <f t="array" ref="I35:I72">IFERROR(_xlfn._xlws.FILTER('Main Tracker'!M3:M100,'Main Tracker'!Q3:Q100="Invoice Sent",""),"")</f>
        <v>418</v>
      </c>
    </row>
    <row r="36" spans="1:10" ht="15">
      <c r="A36" s="33">
        <v>2</v>
      </c>
      <c r="B36" s="34">
        <v>46190</v>
      </c>
      <c r="C36" s="35" t="str">
        <v>FinAks Advisory Pvt Ltd</v>
      </c>
      <c r="D36" s="35" t="str">
        <v>Apps for Business (Annual - Monthly)</v>
      </c>
      <c r="E36" s="36">
        <v>2</v>
      </c>
      <c r="F36" s="33" t="str">
        <v>Redington</v>
      </c>
      <c r="G36" s="35" t="str">
        <v>Invoice Sent</v>
      </c>
      <c r="H36" s="35" t="str">
        <v>Yes</v>
      </c>
      <c r="I36" s="37">
        <v>696.78</v>
      </c>
    </row>
    <row r="37" spans="1:10" ht="15">
      <c r="A37" s="33">
        <v>3</v>
      </c>
      <c r="B37" s="34">
        <v>46192</v>
      </c>
      <c r="C37" s="35" t="str">
        <v>Cloudwave Technologies Pvt Ltd</v>
      </c>
      <c r="D37" s="35" t="str">
        <v>Business Basic (Annual - Annual )</v>
      </c>
      <c r="E37" s="36">
        <v>120</v>
      </c>
      <c r="F37" s="33" t="str">
        <v>Redington</v>
      </c>
      <c r="G37" s="35" t="str">
        <v>Invoice Sent</v>
      </c>
      <c r="H37" s="35" t="str">
        <v>Not Applicable</v>
      </c>
      <c r="I37" s="37">
        <v>162000</v>
      </c>
    </row>
    <row r="38" spans="1:10" ht="15">
      <c r="A38" s="33">
        <v>4</v>
      </c>
      <c r="B38" s="34">
        <v>46195</v>
      </c>
      <c r="C38" s="35" t="str">
        <v>Cloudwave Technologies Pvt Ltd</v>
      </c>
      <c r="D38" s="35" t="str">
        <v>MS Exchange Online Plan 2 (Annual - Annual)</v>
      </c>
      <c r="E38" s="36">
        <v>8</v>
      </c>
      <c r="F38" s="33" t="str">
        <v>Redington</v>
      </c>
      <c r="G38" s="35" t="str">
        <v>Invoice Sent</v>
      </c>
      <c r="H38" s="35" t="str">
        <v>Not Applicable</v>
      </c>
      <c r="I38" s="37">
        <v>51584</v>
      </c>
    </row>
    <row r="39" spans="1:10" ht="15">
      <c r="A39" s="33">
        <v>5</v>
      </c>
      <c r="B39" s="34">
        <v>46192</v>
      </c>
      <c r="C39" s="35" t="str">
        <v>FinAks Advisory Pvt Ltd</v>
      </c>
      <c r="D39" s="35" t="str">
        <v>Business Basic (Annual - Annual )</v>
      </c>
      <c r="E39" s="36">
        <v>2</v>
      </c>
      <c r="F39" s="33" t="str">
        <v>SoftwareOne</v>
      </c>
      <c r="G39" s="35" t="str">
        <v>Invoice sent</v>
      </c>
      <c r="H39" s="35" t="str">
        <v>No</v>
      </c>
      <c r="I39" s="37">
        <v>2128.04</v>
      </c>
    </row>
    <row r="40" spans="1:10" ht="15">
      <c r="A40" s="33">
        <v>6</v>
      </c>
      <c r="B40" s="34">
        <v>46195</v>
      </c>
      <c r="C40" s="35" t="str">
        <v>Krisam Automation Pvt Ltd</v>
      </c>
      <c r="D40" s="35" t="str">
        <v>MS Exchange Online Plan 2 (Annual - Annual, add-on)</v>
      </c>
      <c r="E40" s="36">
        <v>1</v>
      </c>
      <c r="F40" s="33" t="str">
        <v>Redington</v>
      </c>
      <c r="G40" s="35" t="str">
        <v>Invoice Sent</v>
      </c>
      <c r="H40" s="35" t="str">
        <v>Yes</v>
      </c>
      <c r="I40" s="37">
        <v>3371.8</v>
      </c>
    </row>
    <row r="41" spans="1:10" ht="15">
      <c r="A41" s="33">
        <v>7</v>
      </c>
      <c r="B41" s="34">
        <v>46196</v>
      </c>
      <c r="C41" s="35" t="str">
        <v>SRS Travels</v>
      </c>
      <c r="D41" s="35" t="str">
        <v>MS Exchange Online Plan 2 (Annual - Annual)</v>
      </c>
      <c r="E41" s="36">
        <v>1</v>
      </c>
      <c r="F41" s="33" t="str">
        <v>SoftwareOne</v>
      </c>
      <c r="G41" s="35" t="str">
        <v>Invoice Sent</v>
      </c>
      <c r="H41" s="35" t="str">
        <v>Yes</v>
      </c>
      <c r="I41" s="37">
        <v>6543.6</v>
      </c>
    </row>
    <row r="42" spans="1:10" ht="15">
      <c r="A42" s="33">
        <v>8</v>
      </c>
      <c r="B42" s="34">
        <v>46197</v>
      </c>
      <c r="C42" s="35" t="str">
        <v>Sudarrshan Tech Services</v>
      </c>
      <c r="D42" s="35" t="str">
        <v>MS Copilot for Business (Annual - Annual)</v>
      </c>
      <c r="E42" s="36">
        <v>1</v>
      </c>
      <c r="F42" s="33" t="str">
        <v>Redington</v>
      </c>
      <c r="G42" s="35" t="str">
        <v>Invoice Sent</v>
      </c>
      <c r="H42" s="35" t="str">
        <v>Yes</v>
      </c>
      <c r="I42" s="37">
        <v>19034.46</v>
      </c>
    </row>
    <row r="43" spans="1:10" ht="15">
      <c r="A43" s="33">
        <v>9</v>
      </c>
      <c r="B43" s="34">
        <v>46199</v>
      </c>
      <c r="C43" s="35" t="str">
        <v>FinAks Advisory Pvt Ltd</v>
      </c>
      <c r="D43" s="35" t="str">
        <v>Apps for Business (Annual - Monthly)</v>
      </c>
      <c r="E43" s="36">
        <v>1</v>
      </c>
      <c r="F43" s="33" t="str">
        <v>Redington</v>
      </c>
      <c r="G43" s="35" t="str">
        <v>Invoice Sent</v>
      </c>
      <c r="H43" s="35" t="str">
        <v>Yes</v>
      </c>
      <c r="I43" s="37">
        <v>17.420000000000002</v>
      </c>
    </row>
    <row r="44" spans="1:10" ht="15">
      <c r="A44" s="33">
        <v>10</v>
      </c>
      <c r="B44" s="34">
        <v>46199</v>
      </c>
      <c r="C44" s="35" t="str">
        <v>FinAks Advisory Pvt Ltd</v>
      </c>
      <c r="D44" s="35" t="str">
        <v>Business Basic (Annual - Annual )</v>
      </c>
      <c r="E44" s="36">
        <v>1</v>
      </c>
      <c r="F44" s="33" t="str">
        <v>SoftwareOne</v>
      </c>
      <c r="G44" s="35" t="str">
        <v>Invoice Sent</v>
      </c>
      <c r="H44" s="35" t="str">
        <v>Yes</v>
      </c>
      <c r="I44" s="37">
        <v>930</v>
      </c>
    </row>
    <row r="45" spans="1:10" s="2" customFormat="1" ht="15">
      <c r="A45" s="33">
        <v>11</v>
      </c>
      <c r="B45" s="34">
        <v>46203</v>
      </c>
      <c r="C45" s="35" t="str">
        <v>Atomstrings</v>
      </c>
      <c r="D45" s="35" t="str">
        <v>Business Basic (Annual - Annual )</v>
      </c>
      <c r="E45" s="36">
        <v>3</v>
      </c>
      <c r="F45" s="33" t="str">
        <v>SoftwareOne</v>
      </c>
      <c r="G45" s="35" t="str">
        <v>Invoice Sent</v>
      </c>
      <c r="H45" s="35" t="str">
        <v>Yes</v>
      </c>
      <c r="I45" s="37">
        <v>4176</v>
      </c>
      <c r="J45"/>
    </row>
    <row r="46" spans="1:10" ht="15">
      <c r="A46" s="33">
        <v>12</v>
      </c>
      <c r="B46" s="34">
        <v>46203</v>
      </c>
      <c r="C46" s="35" t="str">
        <v>Dassworld</v>
      </c>
      <c r="D46" s="35" t="str">
        <v>Business Basic (Annual - Annual )</v>
      </c>
      <c r="E46" s="36">
        <v>2</v>
      </c>
      <c r="F46" s="33" t="str">
        <v>SoftwareOne</v>
      </c>
      <c r="G46" s="35" t="str">
        <v>Invoice Sent</v>
      </c>
      <c r="H46" s="35" t="str">
        <v>Yes</v>
      </c>
      <c r="I46" s="37">
        <v>2784</v>
      </c>
    </row>
    <row r="47" spans="1:10" ht="15">
      <c r="A47" s="33">
        <v>13</v>
      </c>
      <c r="B47" s="34">
        <v>46203</v>
      </c>
      <c r="C47" s="35" t="str">
        <v>Infiniminds Pvt Ltd</v>
      </c>
      <c r="D47" s="35" t="str">
        <v>Business Basic (Annual - Annual )</v>
      </c>
      <c r="E47" s="36">
        <v>60</v>
      </c>
      <c r="F47" s="33" t="str">
        <v>Redington</v>
      </c>
      <c r="G47" s="35" t="str">
        <v>Invoice Sent</v>
      </c>
      <c r="H47" s="35" t="str">
        <v>Yes</v>
      </c>
      <c r="I47" s="37">
        <v>81420</v>
      </c>
    </row>
    <row r="48" spans="1:10" ht="15">
      <c r="A48" s="33">
        <v>14</v>
      </c>
      <c r="B48" s="34">
        <v>46203</v>
      </c>
      <c r="C48" s="35" t="str">
        <v>INS LABS Pvt Ltd</v>
      </c>
      <c r="D48" s="35" t="str">
        <v>Exchange Online Plan 2</v>
      </c>
      <c r="E48" s="36">
        <v>3</v>
      </c>
      <c r="F48" s="33" t="str">
        <v>Redington</v>
      </c>
      <c r="G48" s="35" t="str">
        <v>Invoice Sent</v>
      </c>
      <c r="H48" s="35" t="str">
        <v>Yes</v>
      </c>
      <c r="I48" s="37">
        <v>23940</v>
      </c>
    </row>
    <row r="49" spans="1:9" ht="15">
      <c r="A49" s="33">
        <v>15</v>
      </c>
      <c r="B49" s="34">
        <v>46202</v>
      </c>
      <c r="C49" s="35" t="str">
        <v>NuGRP Solutions LLP</v>
      </c>
      <c r="D49" s="35" t="str">
        <v xml:space="preserve">Windows Server 2025 - 1 Device CAL </v>
      </c>
      <c r="E49" s="36">
        <v>18</v>
      </c>
      <c r="F49" s="33" t="str">
        <v>Tata Tele</v>
      </c>
      <c r="G49" s="35" t="str">
        <v>Invoice Sent</v>
      </c>
      <c r="H49" s="35" t="str">
        <v>Yes</v>
      </c>
      <c r="I49" s="37">
        <v>52056</v>
      </c>
    </row>
    <row r="50" spans="1:9" ht="15">
      <c r="A50" s="33">
        <v>16</v>
      </c>
      <c r="B50" s="34">
        <v>46202</v>
      </c>
      <c r="C50" s="35" t="str">
        <v>NuGRP Solutions LLP</v>
      </c>
      <c r="D50" s="35" t="str">
        <v xml:space="preserve">SQL Server 2025 Standard Edition </v>
      </c>
      <c r="E50" s="36">
        <v>1</v>
      </c>
      <c r="F50" s="33" t="str">
        <v>Tata Tele</v>
      </c>
      <c r="G50" s="35" t="str">
        <v>Invoice Sent</v>
      </c>
      <c r="H50" s="35" t="str">
        <v>Yes</v>
      </c>
      <c r="I50" s="37">
        <v>72310</v>
      </c>
    </row>
    <row r="51" spans="1:9" ht="15">
      <c r="A51" s="33">
        <v>17</v>
      </c>
      <c r="B51" s="34">
        <v>46202</v>
      </c>
      <c r="C51" s="35" t="str">
        <v>NuGRP Solutions LLP</v>
      </c>
      <c r="D51" s="35" t="str">
        <v>SQL Server 2025 - 1 User CAL</v>
      </c>
      <c r="E51" s="36">
        <v>6</v>
      </c>
      <c r="F51" s="33" t="str">
        <v>Tata Tele</v>
      </c>
      <c r="G51" s="35" t="str">
        <v>Invoice Sent</v>
      </c>
      <c r="H51" s="35" t="str">
        <v>Yes</v>
      </c>
      <c r="I51" s="37">
        <v>100878</v>
      </c>
    </row>
    <row r="52" spans="1:9" ht="15">
      <c r="A52" s="33">
        <v>17</v>
      </c>
      <c r="B52" s="34">
        <v>46203</v>
      </c>
      <c r="C52" s="35" t="str">
        <v>TechsharingB</v>
      </c>
      <c r="D52" s="35" t="str">
        <v>Business Standard (no Teams) (Annual - Monthly)</v>
      </c>
      <c r="E52" s="36">
        <v>5</v>
      </c>
      <c r="F52" s="33" t="str">
        <v>Redington</v>
      </c>
      <c r="G52" s="35" t="str">
        <v>Invoice Sent</v>
      </c>
      <c r="H52" s="35" t="str">
        <v>No</v>
      </c>
      <c r="I52" s="37">
        <v>2430</v>
      </c>
    </row>
    <row r="53" spans="1:9" ht="15">
      <c r="A53" s="33">
        <v>18</v>
      </c>
      <c r="B53" s="34">
        <v>46204</v>
      </c>
      <c r="C53" s="35" t="str">
        <v>Shreenaths Sustainables Pvt Ltd</v>
      </c>
      <c r="D53" s="35" t="str">
        <v>Business Basic (Annual - Annual )</v>
      </c>
      <c r="E53" s="36">
        <v>2</v>
      </c>
      <c r="F53" s="33" t="str">
        <v>SoftwareOne</v>
      </c>
      <c r="G53" s="35" t="str">
        <v>Invoice Sent</v>
      </c>
      <c r="H53" s="35" t="str">
        <v>No</v>
      </c>
      <c r="I53" s="37">
        <v>1646.8219178082179</v>
      </c>
    </row>
    <row r="54" spans="1:9" ht="15">
      <c r="A54" s="33">
        <v>19</v>
      </c>
      <c r="B54" s="34">
        <v>46216</v>
      </c>
      <c r="C54" s="35" t="str">
        <v>Cloudwave Technologies Pvt Ltd</v>
      </c>
      <c r="D54" s="35" t="str">
        <v>Business Basic (Annual - Annual )</v>
      </c>
      <c r="E54" s="36">
        <v>120</v>
      </c>
      <c r="F54" s="33" t="str">
        <v>Redington</v>
      </c>
      <c r="G54" s="35" t="str">
        <v>Invoice Sent</v>
      </c>
      <c r="H54" s="35" t="str">
        <v>No</v>
      </c>
      <c r="I54" s="37">
        <v>192000</v>
      </c>
    </row>
    <row r="55" spans="1:9" ht="15">
      <c r="A55" s="33">
        <v>20</v>
      </c>
      <c r="B55" s="34">
        <v>46216</v>
      </c>
      <c r="C55" s="35" t="str">
        <v>Cloudwave Technologies Pvt Ltd</v>
      </c>
      <c r="D55" s="35" t="str">
        <v>Exchange Online Plan 2 (Annual - Annual)</v>
      </c>
      <c r="E55" s="36">
        <v>8</v>
      </c>
      <c r="F55" s="33" t="str">
        <v>Redington</v>
      </c>
      <c r="G55" s="35" t="str">
        <v>Invoice Sent</v>
      </c>
      <c r="H55" s="35" t="str">
        <v>No</v>
      </c>
      <c r="I55" s="37">
        <v>51582.720000000001</v>
      </c>
    </row>
    <row r="56" spans="1:9" ht="15">
      <c r="A56" s="33">
        <v>22</v>
      </c>
      <c r="B56" s="34">
        <v>46230</v>
      </c>
      <c r="C56" s="35" t="str">
        <v>Neo TVS</v>
      </c>
      <c r="D56" s="35" t="str">
        <v>Business Basic (Annual - Annual )</v>
      </c>
      <c r="E56" s="36">
        <v>16</v>
      </c>
      <c r="F56" s="33" t="str">
        <v>Redington</v>
      </c>
      <c r="G56" s="35" t="str">
        <v>Invoice Sent</v>
      </c>
      <c r="H56" s="35" t="str">
        <v>No</v>
      </c>
      <c r="I56" s="37">
        <v>26732.799999999999</v>
      </c>
    </row>
    <row r="57" spans="1:9" ht="15">
      <c r="A57" s="38">
        <v>23</v>
      </c>
      <c r="B57" s="39">
        <v>46230</v>
      </c>
      <c r="C57" s="40" t="str">
        <v>ER Brains IT Solutions</v>
      </c>
      <c r="D57" s="40" t="str">
        <v>D365 Business Central Premium (Annual - Monthly)</v>
      </c>
      <c r="E57" s="41">
        <v>1</v>
      </c>
      <c r="F57" s="38" t="str">
        <v>SoftwareOne</v>
      </c>
      <c r="G57" s="40" t="str">
        <v>Invoice Sent</v>
      </c>
      <c r="H57" s="40" t="str">
        <v>No</v>
      </c>
      <c r="I57" s="42">
        <v>84030.99</v>
      </c>
    </row>
    <row r="58" spans="1:9" ht="15">
      <c r="A58" s="38">
        <v>24</v>
      </c>
      <c r="B58" s="39">
        <v>46232</v>
      </c>
      <c r="C58" s="40" t="str">
        <v>GRP Solutions</v>
      </c>
      <c r="D58" s="40" t="str">
        <v>Windows Server 2025 Datacenter - 16 Core - Edu</v>
      </c>
      <c r="E58" s="41">
        <v>1</v>
      </c>
      <c r="F58" s="38" t="str">
        <v>Tata Tele</v>
      </c>
      <c r="G58" s="40" t="str">
        <v>Invoice Sent</v>
      </c>
      <c r="H58" s="40" t="str">
        <v>Yes</v>
      </c>
      <c r="I58" s="42">
        <v>124509</v>
      </c>
    </row>
    <row r="59" spans="1:9" ht="14.45" customHeight="1">
      <c r="A59" s="38">
        <v>25</v>
      </c>
      <c r="B59" s="39">
        <v>46239</v>
      </c>
      <c r="C59" s="40" t="str">
        <v>NexGen Robotics Automation</v>
      </c>
      <c r="D59" s="40" t="str">
        <v>Business Basic (Annual - Annual )</v>
      </c>
      <c r="E59" s="41">
        <v>15</v>
      </c>
      <c r="F59" s="38" t="str">
        <v>SoftwareOne</v>
      </c>
      <c r="G59" s="40" t="str">
        <v>Invoice Sent</v>
      </c>
      <c r="H59" s="40" t="str">
        <v>No</v>
      </c>
      <c r="I59" s="42">
        <v>24357.599999999999</v>
      </c>
    </row>
    <row r="60" spans="1:9" ht="14.45" customHeight="1">
      <c r="A60" s="38">
        <v>26</v>
      </c>
      <c r="B60" s="39">
        <v>46239</v>
      </c>
      <c r="C60" s="40" t="str">
        <v>Whitepaper Solutions</v>
      </c>
      <c r="D60" s="40" t="str">
        <v>Business Basic (Annual - Annual )</v>
      </c>
      <c r="E60" s="41">
        <v>20</v>
      </c>
      <c r="F60" s="38" t="str">
        <v>SoftwareOne</v>
      </c>
      <c r="G60" s="40" t="str">
        <v>Invoice Sent</v>
      </c>
      <c r="H60" s="40" t="str">
        <v>No</v>
      </c>
      <c r="I60" s="42">
        <v>33292</v>
      </c>
    </row>
    <row r="61" spans="1:9" ht="14.45" customHeight="1">
      <c r="A61" s="38">
        <v>27</v>
      </c>
      <c r="B61" s="39">
        <v>46240</v>
      </c>
      <c r="C61" s="40" t="str">
        <v>CNC India</v>
      </c>
      <c r="D61" s="40" t="str">
        <v>Business Basic (Annual - Annual )</v>
      </c>
      <c r="E61" s="41">
        <v>190</v>
      </c>
      <c r="F61" s="38" t="str">
        <v>SoftwareOne</v>
      </c>
      <c r="G61" s="40" t="str">
        <v>Invoice Sent</v>
      </c>
      <c r="H61" s="40" t="str">
        <v>No</v>
      </c>
      <c r="I61" s="42">
        <v>303878.39999999997</v>
      </c>
    </row>
    <row r="62" spans="1:9" ht="14.45" customHeight="1">
      <c r="A62" s="38">
        <v>30</v>
      </c>
      <c r="B62" s="39">
        <v>46244</v>
      </c>
      <c r="C62" s="40" t="str">
        <v>NuGRP Solutions LLP</v>
      </c>
      <c r="D62" s="40" t="str">
        <v>SQL Server 2025 Standard edition Perpetual 1 Server License</v>
      </c>
      <c r="E62" s="41">
        <v>2</v>
      </c>
      <c r="F62" s="38" t="str">
        <v>Tata Tele</v>
      </c>
      <c r="G62" s="40" t="str">
        <v>Invoice Sent</v>
      </c>
      <c r="H62" s="40" t="str">
        <v>No</v>
      </c>
      <c r="I62" s="42">
        <v>146254</v>
      </c>
    </row>
    <row r="63" spans="1:9" ht="14.45" customHeight="1">
      <c r="A63" s="38">
        <v>31</v>
      </c>
      <c r="B63" s="39">
        <v>46244</v>
      </c>
      <c r="C63" s="40" t="str">
        <v>Krisam Automation Pvt Ltd</v>
      </c>
      <c r="D63" s="40" t="str">
        <v>Business Basic (Annual - Annual )</v>
      </c>
      <c r="E63" s="41">
        <v>65</v>
      </c>
      <c r="F63" s="38" t="str">
        <v>Redington</v>
      </c>
      <c r="G63" s="40" t="str">
        <v>Invoice Sent</v>
      </c>
      <c r="H63" s="40" t="str">
        <v>No</v>
      </c>
      <c r="I63" s="42">
        <v>104997.75</v>
      </c>
    </row>
    <row r="64" spans="1:9" ht="14.45" customHeight="1">
      <c r="A64" s="38">
        <v>32</v>
      </c>
      <c r="B64" s="39">
        <v>46245</v>
      </c>
      <c r="C64" s="40" t="str">
        <v>Shreenaths Renewables Pvt Ltd</v>
      </c>
      <c r="D64" s="40" t="str">
        <v>Business Basic (Annual - Annual )</v>
      </c>
      <c r="E64" s="41">
        <v>15</v>
      </c>
      <c r="F64" s="38" t="str">
        <v>SoftwareOne</v>
      </c>
      <c r="G64" s="40" t="str">
        <v>Invoice Sent</v>
      </c>
      <c r="H64" s="40" t="str">
        <v>No</v>
      </c>
      <c r="I64" s="42">
        <v>24603</v>
      </c>
    </row>
    <row r="65" spans="1:9" ht="14.45" customHeight="1">
      <c r="A65" s="38">
        <v>33</v>
      </c>
      <c r="B65" s="39">
        <v>46246</v>
      </c>
      <c r="C65" s="40" t="str">
        <v>QL Partners</v>
      </c>
      <c r="D65" s="40" t="str">
        <v>Business Standard (Annual - Annual)</v>
      </c>
      <c r="E65" s="41">
        <v>25</v>
      </c>
      <c r="F65" s="38" t="str">
        <v>Redington</v>
      </c>
      <c r="G65" s="40" t="str">
        <v>Invoice Sent</v>
      </c>
      <c r="H65" s="40" t="str">
        <v>No</v>
      </c>
      <c r="I65" s="42">
        <v>211550</v>
      </c>
    </row>
    <row r="66" spans="1:9" ht="15">
      <c r="A66">
        <v>43</v>
      </c>
      <c r="B66">
        <v>46246</v>
      </c>
      <c r="C66" t="str">
        <v>AJM CNC Tool Tech</v>
      </c>
      <c r="D66" t="str">
        <v>Business Basic (Annual - Annual )</v>
      </c>
      <c r="E66">
        <v>2</v>
      </c>
      <c r="F66" t="str">
        <v>SoftwareOne</v>
      </c>
      <c r="G66" t="str">
        <v>Invoice Sent</v>
      </c>
      <c r="H66" t="str">
        <v>No</v>
      </c>
      <c r="I66">
        <v>236.44</v>
      </c>
    </row>
    <row r="67" spans="1:9">
      <c r="A67">
        <v>45</v>
      </c>
      <c r="B67">
        <v>46253</v>
      </c>
      <c r="C67" t="str">
        <v>Utthunga Technologies Pvt Ltd</v>
      </c>
      <c r="D67" t="str">
        <v>Visual Studio Professional 2026</v>
      </c>
      <c r="E67">
        <v>40</v>
      </c>
      <c r="F67" t="str">
        <v>Tata Tele</v>
      </c>
      <c r="G67" t="str">
        <v>Invoice Sent</v>
      </c>
      <c r="H67" t="str">
        <v>No</v>
      </c>
      <c r="I67">
        <v>1454600</v>
      </c>
    </row>
    <row r="68" spans="1:9">
      <c r="A68">
        <v>48</v>
      </c>
      <c r="B68">
        <v>46254</v>
      </c>
      <c r="C68" t="str">
        <v>Utthunga Technologies Pvt Ltd</v>
      </c>
      <c r="D68" t="str">
        <v>Planner and Project Plan 3 (Annual - Annual)</v>
      </c>
      <c r="E68">
        <v>2</v>
      </c>
      <c r="F68" t="str">
        <v>Tata Tele</v>
      </c>
      <c r="G68" t="str">
        <v>Invoice Sent</v>
      </c>
      <c r="H68" t="str">
        <v>No</v>
      </c>
      <c r="I68">
        <v>48384</v>
      </c>
    </row>
    <row r="69" spans="1:9">
      <c r="A69">
        <v>50</v>
      </c>
      <c r="B69">
        <v>46257</v>
      </c>
      <c r="C69" t="str">
        <v>Shreenaths Renewables Pvt Ltd</v>
      </c>
      <c r="D69" t="str">
        <v>Exchange Migration Activity (One-Time)</v>
      </c>
      <c r="E69">
        <v>2</v>
      </c>
      <c r="F69">
        <v>0</v>
      </c>
      <c r="G69" t="str">
        <v>Invoice Sent</v>
      </c>
      <c r="H69" t="str">
        <v>No</v>
      </c>
      <c r="I69">
        <v>600</v>
      </c>
    </row>
    <row r="70" spans="1:9">
      <c r="A70">
        <v>53</v>
      </c>
      <c r="B70">
        <v>46258</v>
      </c>
      <c r="C70" t="str">
        <v>Malathi Venkat Enterprises</v>
      </c>
      <c r="D70" t="str">
        <v>Business Basic (Annual - Annual )</v>
      </c>
      <c r="E70">
        <v>2</v>
      </c>
      <c r="F70" t="str">
        <v>Redington</v>
      </c>
      <c r="G70" t="str">
        <v>Invoice Sent</v>
      </c>
      <c r="H70" t="str">
        <v>Yes</v>
      </c>
      <c r="I70">
        <v>3296.64</v>
      </c>
    </row>
    <row r="71" spans="1:9">
      <c r="A71">
        <v>54</v>
      </c>
      <c r="B71">
        <v>46259</v>
      </c>
      <c r="C71" t="str">
        <v>Neo TVS</v>
      </c>
      <c r="D71" t="str">
        <v>Website Hosting Charges</v>
      </c>
      <c r="E71">
        <v>1</v>
      </c>
      <c r="F71">
        <v>0</v>
      </c>
      <c r="G71" t="str">
        <v>Invoice Sent</v>
      </c>
      <c r="H71" t="str">
        <v>No</v>
      </c>
      <c r="I71">
        <v>1695</v>
      </c>
    </row>
    <row r="72" spans="1:9">
      <c r="A72">
        <v>55</v>
      </c>
      <c r="B72">
        <v>46261</v>
      </c>
      <c r="C72" t="str">
        <v>Sudarrshan Tech Services</v>
      </c>
      <c r="D72" t="str">
        <v>Business Basic (Annual - Annual )</v>
      </c>
      <c r="E72">
        <v>11</v>
      </c>
      <c r="F72" t="str">
        <v>Redington</v>
      </c>
      <c r="G72" t="str">
        <v>Invoice Sent</v>
      </c>
      <c r="H72" t="str">
        <v>No</v>
      </c>
      <c r="I72">
        <v>18131.52</v>
      </c>
    </row>
  </sheetData>
  <mergeCells count="5">
    <mergeCell ref="A32:I32"/>
    <mergeCell ref="A1:I1"/>
    <mergeCell ref="A2:I2"/>
    <mergeCell ref="A4:I4"/>
    <mergeCell ref="A14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03"/>
  <sheetViews>
    <sheetView workbookViewId="0">
      <pane xSplit="3" ySplit="1" topLeftCell="K54" activePane="bottomRight" state="frozen"/>
      <selection pane="bottomRight" activeCell="N111" sqref="N111"/>
      <selection pane="bottomLeft"/>
      <selection pane="topRight"/>
    </sheetView>
  </sheetViews>
  <sheetFormatPr defaultColWidth="9.140625" defaultRowHeight="15" customHeight="1"/>
  <cols>
    <col min="1" max="1" width="6.7109375" style="4" bestFit="1" customWidth="1"/>
    <col min="2" max="2" width="19.42578125" style="13" customWidth="1"/>
    <col min="3" max="3" width="29.85546875" style="4" bestFit="1" customWidth="1"/>
    <col min="4" max="4" width="19.28515625" style="4" bestFit="1" customWidth="1"/>
    <col min="5" max="5" width="28.5703125" style="4" bestFit="1" customWidth="1"/>
    <col min="6" max="6" width="58.5703125" style="4" customWidth="1"/>
    <col min="7" max="7" width="14.140625" style="4" customWidth="1"/>
    <col min="8" max="8" width="13.42578125" style="4" customWidth="1"/>
    <col min="9" max="9" width="15" style="4" bestFit="1" customWidth="1"/>
    <col min="10" max="10" width="21.28515625" style="4" bestFit="1" customWidth="1"/>
    <col min="11" max="11" width="27.42578125" style="4" customWidth="1"/>
    <col min="12" max="12" width="5.85546875" style="4" customWidth="1"/>
    <col min="13" max="13" width="17.85546875" style="4" customWidth="1"/>
    <col min="14" max="15" width="13.5703125" style="4" customWidth="1"/>
    <col min="16" max="16" width="19.140625" style="4" bestFit="1" customWidth="1"/>
    <col min="17" max="17" width="30.7109375" style="4" customWidth="1"/>
    <col min="18" max="18" width="20.85546875" style="4" customWidth="1"/>
    <col min="19" max="19" width="76.28515625" style="4" bestFit="1" customWidth="1"/>
    <col min="20" max="16384" width="9.140625" style="4"/>
  </cols>
  <sheetData>
    <row r="1" spans="1:19">
      <c r="A1" s="3" t="s">
        <v>11</v>
      </c>
      <c r="B1" s="12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15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2</v>
      </c>
      <c r="R1" s="3" t="s">
        <v>34</v>
      </c>
      <c r="S1" s="3" t="s">
        <v>35</v>
      </c>
    </row>
    <row r="2" spans="1:19" hidden="1">
      <c r="A2" s="3">
        <f>ROW() - ROW($A$2)</f>
        <v>0</v>
      </c>
      <c r="B2" s="1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2"/>
      <c r="O2" s="53"/>
      <c r="P2" s="3"/>
      <c r="Q2" s="3"/>
      <c r="R2" s="3"/>
      <c r="S2" s="3"/>
    </row>
    <row r="3" spans="1:19" hidden="1">
      <c r="A3" s="4">
        <f>ROW() - ROW($A$2)</f>
        <v>1</v>
      </c>
      <c r="B3" s="13">
        <v>46087</v>
      </c>
      <c r="C3" s="4" t="s">
        <v>36</v>
      </c>
      <c r="E3" s="4" t="s">
        <v>37</v>
      </c>
      <c r="F3" s="4" t="s">
        <v>38</v>
      </c>
      <c r="G3" s="11">
        <v>525</v>
      </c>
      <c r="H3" s="11">
        <v>540</v>
      </c>
      <c r="I3" s="4">
        <v>418</v>
      </c>
      <c r="J3" s="11" cm="1">
        <f t="array" ref="J3">_xlfn.LET(_xlpm.p,K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25</v>
      </c>
      <c r="K3" s="4" t="s">
        <v>39</v>
      </c>
      <c r="L3" s="4">
        <v>1</v>
      </c>
      <c r="M3" s="21">
        <f>IF(OR(L3="",L3="-"),"-",IF(AND(ISNUMBER(I3),I3&lt;&gt;0),I3*L3,IF(ISNUMBER(H3),H3*L3,"-")))</f>
        <v>418</v>
      </c>
      <c r="N3" s="5">
        <f>IF(OR(G3="",H3="",L3=""),"",(H3-G3)*L3)</f>
        <v>15</v>
      </c>
      <c r="O3" s="22">
        <f>IF(OR(G3="",G3=0,H3=""),"",((H3-G3)/G3)*100)</f>
        <v>2.8571428571428572</v>
      </c>
      <c r="P3" s="4" t="s">
        <v>40</v>
      </c>
      <c r="Q3" s="4" t="s">
        <v>4</v>
      </c>
      <c r="R3" s="4" t="s">
        <v>41</v>
      </c>
    </row>
    <row r="4" spans="1:19" hidden="1">
      <c r="A4" s="4">
        <f>ROW() - ROW($A$2)</f>
        <v>2</v>
      </c>
      <c r="B4" s="13">
        <v>46190</v>
      </c>
      <c r="C4" s="4" t="s">
        <v>36</v>
      </c>
      <c r="E4" s="4" t="s">
        <v>37</v>
      </c>
      <c r="F4" s="4" t="s">
        <v>38</v>
      </c>
      <c r="G4" s="11">
        <v>525</v>
      </c>
      <c r="H4" s="11">
        <v>540</v>
      </c>
      <c r="I4" s="23">
        <v>348.39</v>
      </c>
      <c r="J4" s="17" cm="1">
        <f t="array" ref="J4">_xlfn.LET(_xlpm.p,K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11</v>
      </c>
      <c r="K4" s="4" t="s">
        <v>42</v>
      </c>
      <c r="L4" s="4">
        <v>2</v>
      </c>
      <c r="M4" s="24">
        <f>IF(OR(L4="",L4="-"),"-",IF(AND(ISNUMBER(I4),I4&lt;&gt;0),I4*L4,IF(ISNUMBER(H4),H4*L4,"-")))</f>
        <v>696.78</v>
      </c>
      <c r="N4" s="5">
        <f>IF(OR(G4="",H4="",L4=""),"",(H4-G4)*L4)</f>
        <v>30</v>
      </c>
      <c r="O4" s="22">
        <f>IF(OR(G4="",G4=0,H4=""),"",((H4-G4)/G4)*100)</f>
        <v>2.8571428571428572</v>
      </c>
      <c r="P4" s="4" t="s">
        <v>40</v>
      </c>
      <c r="Q4" s="4" t="s">
        <v>4</v>
      </c>
      <c r="R4" s="4" t="s">
        <v>41</v>
      </c>
    </row>
    <row r="5" spans="1:19" s="15" customFormat="1" hidden="1">
      <c r="A5" s="15">
        <f>ROW() - ROW($A$2)</f>
        <v>3</v>
      </c>
      <c r="B5" s="14">
        <v>46192</v>
      </c>
      <c r="C5" s="15" t="s">
        <v>43</v>
      </c>
      <c r="E5" s="15" t="s">
        <v>44</v>
      </c>
      <c r="F5" s="15" t="s">
        <v>45</v>
      </c>
      <c r="G5" s="16">
        <v>1331.45</v>
      </c>
      <c r="H5" s="25">
        <v>1350</v>
      </c>
      <c r="I5" s="19" t="s">
        <v>46</v>
      </c>
      <c r="J5" s="17" t="str" cm="1">
        <f t="array" ref="J5">_xlfn.LET(_xlpm.p,K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5" s="19" t="s">
        <v>46</v>
      </c>
      <c r="L5" s="15">
        <v>120</v>
      </c>
      <c r="M5" s="18">
        <f>IF(OR(L5="",L5="-"),"-",IF(AND(ISNUMBER(I5),I5&lt;&gt;0),I5*L5,IF(ISNUMBER(H5),H5*L5,"-")))</f>
        <v>162000</v>
      </c>
      <c r="N5" s="19">
        <f>IF(OR(G5="",H5="",L5=""),"",(H5-G5)*L5)</f>
        <v>2225.9999999999945</v>
      </c>
      <c r="O5" s="20">
        <f>IF(OR(G5="",G5=0,H5=""),"",((H5-G5)/G5)*100)</f>
        <v>1.3932179203124377</v>
      </c>
      <c r="P5" s="15" t="s">
        <v>40</v>
      </c>
      <c r="Q5" s="15" t="s">
        <v>4</v>
      </c>
      <c r="R5" s="15" t="s">
        <v>47</v>
      </c>
      <c r="S5" s="15" t="s">
        <v>48</v>
      </c>
    </row>
    <row r="6" spans="1:19" s="15" customFormat="1" hidden="1">
      <c r="A6" s="15">
        <f>ROW() - ROW($A$2)</f>
        <v>4</v>
      </c>
      <c r="B6" s="14">
        <v>46195</v>
      </c>
      <c r="C6" s="15" t="s">
        <v>43</v>
      </c>
      <c r="E6" s="15" t="s">
        <v>44</v>
      </c>
      <c r="F6" s="15" t="s">
        <v>49</v>
      </c>
      <c r="G6" s="25">
        <v>6384</v>
      </c>
      <c r="H6" s="25">
        <v>6448</v>
      </c>
      <c r="I6" s="19" t="s">
        <v>46</v>
      </c>
      <c r="J6" s="17" t="str" cm="1">
        <f t="array" ref="J6">_xlfn.LET(_xlpm.p,K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6" s="19" t="s">
        <v>46</v>
      </c>
      <c r="L6" s="15">
        <v>8</v>
      </c>
      <c r="M6" s="18">
        <f>IF(OR(L6="",L6="-"),"-",IF(AND(ISNUMBER(I6),I6&lt;&gt;0),I6*L6,IF(ISNUMBER(H6),H6*L6,"-")))</f>
        <v>51584</v>
      </c>
      <c r="N6" s="19">
        <f>IF(OR(G6="",H6="",L6=""),"",(H6-G6)*L6)</f>
        <v>512</v>
      </c>
      <c r="O6" s="20">
        <f>IF(OR(G6="",G6=0,H6=""),"",((H6-G6)/G6)*100)</f>
        <v>1.0025062656641603</v>
      </c>
      <c r="P6" s="15" t="s">
        <v>40</v>
      </c>
      <c r="Q6" s="15" t="s">
        <v>4</v>
      </c>
      <c r="R6" s="15" t="s">
        <v>47</v>
      </c>
      <c r="S6" s="15" t="s">
        <v>48</v>
      </c>
    </row>
    <row r="7" spans="1:19" hidden="1">
      <c r="A7" s="4">
        <v>5</v>
      </c>
      <c r="B7" s="13">
        <v>46192</v>
      </c>
      <c r="C7" s="4" t="s">
        <v>36</v>
      </c>
      <c r="E7" s="4" t="s">
        <v>37</v>
      </c>
      <c r="F7" s="4" t="s">
        <v>45</v>
      </c>
      <c r="G7" s="5">
        <v>1050.68</v>
      </c>
      <c r="H7" s="4">
        <v>1064.02</v>
      </c>
      <c r="I7" s="4">
        <v>1064.02</v>
      </c>
      <c r="J7" s="17" cm="1">
        <f t="array" ref="J7">_xlfn.LET(_xlpm.p,K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279</v>
      </c>
      <c r="K7" s="4" t="s">
        <v>50</v>
      </c>
      <c r="L7" s="4">
        <v>2</v>
      </c>
      <c r="M7" s="18">
        <f>IF(OR(L7="",L7="-"),"-",IF(AND(ISNUMBER(I7),I7&lt;&gt;0),I7*L7,IF(ISNUMBER(H7),H7*L7,"-")))</f>
        <v>2128.04</v>
      </c>
      <c r="N7" s="19">
        <f>IF(OR(G7="",H7="",L7=""),"",(H7-G7)*L7)</f>
        <v>26.679999999999836</v>
      </c>
      <c r="O7" s="20">
        <f>IF(OR(G7="",G7=0,H7=""),"",((H7-G7)/G7)*100)</f>
        <v>1.2696539384017891</v>
      </c>
      <c r="P7" s="4" t="s">
        <v>51</v>
      </c>
      <c r="Q7" s="4" t="s">
        <v>52</v>
      </c>
      <c r="R7" s="4" t="s">
        <v>53</v>
      </c>
      <c r="S7" s="4" t="s">
        <v>54</v>
      </c>
    </row>
    <row r="8" spans="1:19" hidden="1">
      <c r="A8" s="4">
        <f>ROW() - ROW($A$2)</f>
        <v>6</v>
      </c>
      <c r="B8" s="13">
        <v>46195</v>
      </c>
      <c r="C8" s="4" t="s">
        <v>55</v>
      </c>
      <c r="E8" s="4" t="s">
        <v>37</v>
      </c>
      <c r="F8" s="4" t="s">
        <v>56</v>
      </c>
      <c r="G8" s="11">
        <v>6384</v>
      </c>
      <c r="H8" s="11">
        <v>6511</v>
      </c>
      <c r="I8" s="5">
        <v>3371.8</v>
      </c>
      <c r="J8" s="11" cm="1">
        <f t="array" ref="J8">_xlfn.LET(_xlpm.p,K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190</v>
      </c>
      <c r="K8" s="5" t="s">
        <v>57</v>
      </c>
      <c r="L8" s="4">
        <v>1</v>
      </c>
      <c r="M8" s="21">
        <f>IF(OR(L8="",L8="-"),"-",IF(AND(ISNUMBER(I8),I8&lt;&gt;0),I8*L8,IF(ISNUMBER(H8),H8*L8,"-")))</f>
        <v>3371.8</v>
      </c>
      <c r="N8" s="5">
        <f>IF(OR(G8="",H8="",L8=""),"",(H8-G8)*L8)</f>
        <v>127</v>
      </c>
      <c r="O8" s="22">
        <f>IF(OR(G8="",G8=0,H8=""),"",((H8-G8)/G8)*100)</f>
        <v>1.9893483709273181</v>
      </c>
      <c r="P8" s="4" t="s">
        <v>40</v>
      </c>
      <c r="Q8" s="4" t="s">
        <v>4</v>
      </c>
      <c r="R8" s="4" t="s">
        <v>41</v>
      </c>
    </row>
    <row r="9" spans="1:19" hidden="1">
      <c r="A9" s="4">
        <f>ROW() - ROW($A$2)</f>
        <v>7</v>
      </c>
      <c r="B9" s="13">
        <v>46196</v>
      </c>
      <c r="C9" s="4" t="s">
        <v>58</v>
      </c>
      <c r="E9" s="4" t="s">
        <v>59</v>
      </c>
      <c r="F9" s="4" t="s">
        <v>49</v>
      </c>
      <c r="G9" s="11">
        <v>6384</v>
      </c>
      <c r="H9" s="11">
        <v>6543.6</v>
      </c>
      <c r="I9" s="5" t="s">
        <v>46</v>
      </c>
      <c r="J9" s="11" cm="1">
        <f t="array" ref="J9">_xlfn.LET(_xlpm.p,K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9" s="4" t="s">
        <v>60</v>
      </c>
      <c r="L9" s="4">
        <v>1</v>
      </c>
      <c r="M9" s="21">
        <f>IF(OR(L9="",L9="-"),"-",IF(AND(ISNUMBER(I9),I9&lt;&gt;0),I9*L9,IF(ISNUMBER(H9),H9*L9,"-")))</f>
        <v>6543.6</v>
      </c>
      <c r="N9" s="5">
        <f>IF(OR(G9="",H9="",L9=""),"",(H9-G9)*L9)</f>
        <v>159.60000000000036</v>
      </c>
      <c r="O9" s="22">
        <f>IF(OR(G9="",G9=0,H9=""),"",((H9-G9)/G9)*100)</f>
        <v>2.5000000000000058</v>
      </c>
      <c r="P9" s="4" t="s">
        <v>51</v>
      </c>
      <c r="Q9" s="4" t="s">
        <v>4</v>
      </c>
      <c r="R9" s="4" t="s">
        <v>41</v>
      </c>
    </row>
    <row r="10" spans="1:19" hidden="1">
      <c r="A10" s="4">
        <f>ROW() - ROW($A$2)</f>
        <v>8</v>
      </c>
      <c r="B10" s="13">
        <v>46197</v>
      </c>
      <c r="C10" s="4" t="s">
        <v>61</v>
      </c>
      <c r="D10" s="4" t="s">
        <v>62</v>
      </c>
      <c r="E10" s="4" t="s">
        <v>63</v>
      </c>
      <c r="F10" s="4" t="s">
        <v>64</v>
      </c>
      <c r="G10" s="11">
        <v>18846</v>
      </c>
      <c r="H10" s="11">
        <v>19034.46</v>
      </c>
      <c r="I10" s="5" t="s">
        <v>46</v>
      </c>
      <c r="J10" s="11" cm="1">
        <f t="array" ref="J10">_xlfn.LET(_xlpm.p,K10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0" s="4" t="s">
        <v>65</v>
      </c>
      <c r="L10" s="4">
        <v>1</v>
      </c>
      <c r="M10" s="21">
        <f>IF(OR(L10="",L10="-"),"-",IF(AND(ISNUMBER(I10),I10&lt;&gt;0),I10*L10,IF(ISNUMBER(H10),H10*L10,"-")))</f>
        <v>19034.46</v>
      </c>
      <c r="N10" s="5">
        <f>IF(OR(G10="",H10="",L10=""),"",(H10-G10)*L10)</f>
        <v>188.45999999999913</v>
      </c>
      <c r="O10" s="22">
        <f>IF(OR(G10="",G10=0,H10=""),"",((H10-G10)/G10)*100)</f>
        <v>0.99999999999999534</v>
      </c>
      <c r="P10" s="4" t="s">
        <v>40</v>
      </c>
      <c r="Q10" s="4" t="s">
        <v>4</v>
      </c>
      <c r="R10" s="4" t="s">
        <v>41</v>
      </c>
    </row>
    <row r="11" spans="1:19" hidden="1">
      <c r="A11" s="4">
        <f>ROW() - ROW($A$2)</f>
        <v>9</v>
      </c>
      <c r="B11" s="13">
        <v>46199</v>
      </c>
      <c r="C11" s="4" t="s">
        <v>36</v>
      </c>
      <c r="E11" s="4" t="s">
        <v>37</v>
      </c>
      <c r="F11" s="4" t="s">
        <v>38</v>
      </c>
      <c r="G11" s="11">
        <v>525</v>
      </c>
      <c r="H11" s="11">
        <v>540</v>
      </c>
      <c r="I11" s="4">
        <v>17.420000000000002</v>
      </c>
      <c r="J11" s="11" cm="1">
        <f t="array" ref="J11">_xlfn.LET(_xlpm.p,K11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</v>
      </c>
      <c r="K11" s="5" t="s">
        <v>66</v>
      </c>
      <c r="L11" s="4">
        <v>1</v>
      </c>
      <c r="M11" s="21">
        <f>IF(OR(L11="",L11="-"),"-",IF(AND(ISNUMBER(I11),I11&lt;&gt;0),I11*L11,IF(ISNUMBER(H11),H11*L11,"-")))</f>
        <v>17.420000000000002</v>
      </c>
      <c r="N11" s="5">
        <f>IF(OR(G11="",H11="",L11=""),"",(H11-G11)*L11)</f>
        <v>15</v>
      </c>
      <c r="O11" s="22">
        <f>IF(OR(G11="",G11=0,H11=""),"",((H11-G11)/G11)*100)</f>
        <v>2.8571428571428572</v>
      </c>
      <c r="P11" s="4" t="s">
        <v>40</v>
      </c>
      <c r="Q11" s="4" t="s">
        <v>4</v>
      </c>
      <c r="R11" s="4" t="s">
        <v>41</v>
      </c>
    </row>
    <row r="12" spans="1:19" hidden="1">
      <c r="A12" s="4">
        <f>ROW() - ROW($A$2)</f>
        <v>10</v>
      </c>
      <c r="B12" s="13">
        <v>46199</v>
      </c>
      <c r="C12" s="4" t="s">
        <v>36</v>
      </c>
      <c r="E12" s="4" t="s">
        <v>37</v>
      </c>
      <c r="F12" s="4" t="s">
        <v>45</v>
      </c>
      <c r="G12" s="11">
        <v>1336</v>
      </c>
      <c r="H12" s="11">
        <v>1392</v>
      </c>
      <c r="I12" s="5">
        <v>930</v>
      </c>
      <c r="J12" s="11" cm="1">
        <f t="array" ref="J12">_xlfn.LET(_xlpm.p,K12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245</v>
      </c>
      <c r="K12" s="5" t="s">
        <v>67</v>
      </c>
      <c r="L12" s="4">
        <v>1</v>
      </c>
      <c r="M12" s="21">
        <f>IF(OR(L12="",L12="-"),"-",IF(AND(ISNUMBER(I12),I12&lt;&gt;0),I12*L12,IF(ISNUMBER(H12),H12*L12,"-")))</f>
        <v>930</v>
      </c>
      <c r="N12" s="5">
        <f>IF(OR(G12="",H12="",L12=""),"",(H12-G12)*L12)</f>
        <v>56</v>
      </c>
      <c r="O12" s="22">
        <f>IF(OR(G12="",G12=0,H12=""),"",((H12-G12)/G12)*100)</f>
        <v>4.1916167664670656</v>
      </c>
      <c r="P12" s="4" t="s">
        <v>51</v>
      </c>
      <c r="Q12" s="4" t="s">
        <v>4</v>
      </c>
      <c r="R12" s="4" t="s">
        <v>41</v>
      </c>
    </row>
    <row r="13" spans="1:19" hidden="1">
      <c r="A13" s="4">
        <f>ROW() - ROW($A$2)</f>
        <v>11</v>
      </c>
      <c r="B13" s="13">
        <v>46203</v>
      </c>
      <c r="C13" s="4" t="s">
        <v>68</v>
      </c>
      <c r="E13" s="4" t="s">
        <v>59</v>
      </c>
      <c r="F13" s="4" t="s">
        <v>45</v>
      </c>
      <c r="G13" s="11">
        <v>1339.8</v>
      </c>
      <c r="H13" s="11">
        <v>1392</v>
      </c>
      <c r="I13" s="5" t="s">
        <v>46</v>
      </c>
      <c r="J13" s="11" cm="1">
        <f t="array" ref="J13">_xlfn.LET(_xlpm.p,K13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3" s="5" t="s">
        <v>69</v>
      </c>
      <c r="L13" s="4">
        <v>3</v>
      </c>
      <c r="M13" s="21">
        <f>IF(OR(L13="",L13="-"),"-",IF(AND(ISNUMBER(I13),I13&lt;&gt;0),I13*L13,IF(ISNUMBER(H13),H13*L13,"-")))</f>
        <v>4176</v>
      </c>
      <c r="N13" s="5">
        <f>IF(OR(G13="",H13="",L13=""),"",(H13-G13)*L13)</f>
        <v>156.60000000000014</v>
      </c>
      <c r="O13" s="22">
        <f>IF(OR(G13="",G13=0,H13=""),"",((H13-G13)/G13)*100)</f>
        <v>3.8961038961038996</v>
      </c>
      <c r="P13" s="4" t="s">
        <v>51</v>
      </c>
      <c r="Q13" s="4" t="s">
        <v>4</v>
      </c>
      <c r="R13" s="4" t="s">
        <v>41</v>
      </c>
    </row>
    <row r="14" spans="1:19" hidden="1">
      <c r="A14" s="4">
        <f>ROW() - ROW($A$2)</f>
        <v>12</v>
      </c>
      <c r="B14" s="13">
        <v>46203</v>
      </c>
      <c r="C14" s="4" t="s">
        <v>70</v>
      </c>
      <c r="E14" s="4" t="s">
        <v>59</v>
      </c>
      <c r="F14" s="4" t="s">
        <v>45</v>
      </c>
      <c r="G14" s="11">
        <v>1339.8</v>
      </c>
      <c r="H14" s="11">
        <v>1392</v>
      </c>
      <c r="I14" s="5" t="s">
        <v>46</v>
      </c>
      <c r="J14" s="11" cm="1">
        <f t="array" ref="J14">_xlfn.LET(_xlpm.p,K14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4" s="5" t="s">
        <v>69</v>
      </c>
      <c r="L14" s="4">
        <v>2</v>
      </c>
      <c r="M14" s="21">
        <f>IF(OR(L14="",L14="-"),"-",IF(AND(ISNUMBER(I14),I14&lt;&gt;0),I14*L14,IF(ISNUMBER(H14),H14*L14,"-")))</f>
        <v>2784</v>
      </c>
      <c r="N14" s="5">
        <f>IF(OR(G14="",H14="",L14=""),"",(H14-G14)*L14)</f>
        <v>104.40000000000009</v>
      </c>
      <c r="O14" s="22">
        <f>IF(OR(G14="",G14=0,H14=""),"",((H14-G14)/G14)*100)</f>
        <v>3.8961038961038996</v>
      </c>
      <c r="P14" s="4" t="s">
        <v>51</v>
      </c>
      <c r="Q14" s="4" t="s">
        <v>4</v>
      </c>
      <c r="R14" s="4" t="s">
        <v>41</v>
      </c>
    </row>
    <row r="15" spans="1:19" hidden="1">
      <c r="A15" s="4">
        <f>ROW() - ROW($A$2)</f>
        <v>13</v>
      </c>
      <c r="B15" s="13">
        <v>46203</v>
      </c>
      <c r="C15" s="4" t="s">
        <v>71</v>
      </c>
      <c r="D15" s="4" t="s">
        <v>72</v>
      </c>
      <c r="E15" s="4" t="s">
        <v>59</v>
      </c>
      <c r="F15" s="4" t="s">
        <v>45</v>
      </c>
      <c r="G15" s="11">
        <v>1343.28</v>
      </c>
      <c r="H15" s="11">
        <v>1357</v>
      </c>
      <c r="I15" s="5" t="s">
        <v>46</v>
      </c>
      <c r="J15" s="11" cm="1">
        <f t="array" ref="J15">_xlfn.LET(_xlpm.p,K15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5" s="5" t="s">
        <v>69</v>
      </c>
      <c r="L15" s="4">
        <v>60</v>
      </c>
      <c r="M15" s="21">
        <f>IF(OR(L15="",L15="-"),"-",IF(AND(ISNUMBER(I15),I15&lt;&gt;0),I15*L15,IF(ISNUMBER(H15),H15*L15,"-")))</f>
        <v>81420</v>
      </c>
      <c r="N15" s="5">
        <f>IF(OR(G15="",H15="",L15=""),"",(H15-G15)*L15)</f>
        <v>823.20000000000164</v>
      </c>
      <c r="O15" s="22">
        <f>IF(OR(G15="",G15=0,H15=""),"",((H15-G15)/G15)*100)</f>
        <v>1.0213805014591171</v>
      </c>
      <c r="P15" s="4" t="s">
        <v>40</v>
      </c>
      <c r="Q15" s="4" t="s">
        <v>4</v>
      </c>
      <c r="R15" s="4" t="s">
        <v>41</v>
      </c>
    </row>
    <row r="16" spans="1:19" hidden="1">
      <c r="A16" s="4">
        <f>ROW() - ROW($A$2)</f>
        <v>14</v>
      </c>
      <c r="B16" s="13">
        <v>46203</v>
      </c>
      <c r="C16" s="4" t="s">
        <v>73</v>
      </c>
      <c r="E16" s="4" t="s">
        <v>59</v>
      </c>
      <c r="F16" s="4" t="s">
        <v>74</v>
      </c>
      <c r="G16" s="11">
        <v>6384</v>
      </c>
      <c r="H16" s="11">
        <v>7980</v>
      </c>
      <c r="I16" s="5"/>
      <c r="J16" s="11" cm="1">
        <f t="array" ref="J16">_xlfn.LET(_xlpm.p,K16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16" s="5" t="s">
        <v>69</v>
      </c>
      <c r="L16" s="4">
        <v>3</v>
      </c>
      <c r="M16" s="21">
        <f>IF(OR(L16="",L16="-"),"-",IF(AND(ISNUMBER(I16),I16&lt;&gt;0),I16*L16,IF(ISNUMBER(H16),H16*L16,"-")))</f>
        <v>23940</v>
      </c>
      <c r="N16" s="5">
        <f>IF(OR(G16="",H16="",L16=""),"",(H16-G16)*L16)</f>
        <v>4788</v>
      </c>
      <c r="O16" s="22">
        <f>IF(OR(G16="",G16=0,H16=""),"",((H16-G16)/G16)*100)</f>
        <v>25</v>
      </c>
      <c r="P16" s="4" t="s">
        <v>40</v>
      </c>
      <c r="Q16" s="4" t="s">
        <v>4</v>
      </c>
      <c r="R16" s="4" t="s">
        <v>41</v>
      </c>
    </row>
    <row r="17" spans="1:19" hidden="1">
      <c r="A17" s="4">
        <f>ROW() - ROW($A$2)</f>
        <v>15</v>
      </c>
      <c r="B17" s="13">
        <v>46202</v>
      </c>
      <c r="C17" s="4" t="s">
        <v>75</v>
      </c>
      <c r="D17" s="4" t="s">
        <v>76</v>
      </c>
      <c r="E17" s="4" t="s">
        <v>63</v>
      </c>
      <c r="F17" s="4" t="s">
        <v>77</v>
      </c>
      <c r="G17" s="11">
        <v>2873</v>
      </c>
      <c r="H17" s="11">
        <v>2892</v>
      </c>
      <c r="I17" s="5"/>
      <c r="J17" s="11" t="str" cm="1">
        <f t="array" ref="J17">_xlfn.LET(_xlpm.p,K17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17" s="11" t="s">
        <v>78</v>
      </c>
      <c r="L17" s="4">
        <v>18</v>
      </c>
      <c r="M17" s="21">
        <f>IF(OR(L17="",L17="-"),"-",IF(AND(ISNUMBER(I17),I17&lt;&gt;0),I17*L17,IF(ISNUMBER(H17),H17*L17,"-")))</f>
        <v>52056</v>
      </c>
      <c r="N17" s="5">
        <f>IF(OR(G17="",H17="",L17=""),"",(H17-G17)*L17)</f>
        <v>342</v>
      </c>
      <c r="O17" s="22">
        <f>IF(OR(G17="",G17=0,H17=""),"",((H17-G17)/G17)*100)</f>
        <v>0.66132962060563871</v>
      </c>
      <c r="P17" s="4" t="s">
        <v>79</v>
      </c>
      <c r="Q17" s="4" t="s">
        <v>4</v>
      </c>
      <c r="R17" s="4" t="s">
        <v>41</v>
      </c>
    </row>
    <row r="18" spans="1:19" hidden="1">
      <c r="A18" s="4">
        <f>ROW() - ROW($A$2)</f>
        <v>16</v>
      </c>
      <c r="B18" s="13">
        <v>46202</v>
      </c>
      <c r="C18" s="4" t="s">
        <v>75</v>
      </c>
      <c r="D18" s="4" t="s">
        <v>76</v>
      </c>
      <c r="E18" s="4" t="s">
        <v>63</v>
      </c>
      <c r="F18" s="4" t="s">
        <v>80</v>
      </c>
      <c r="G18" s="11">
        <v>71667.649999999994</v>
      </c>
      <c r="H18" s="11">
        <v>72310</v>
      </c>
      <c r="I18" s="5"/>
      <c r="J18" s="11" t="str" cm="1">
        <f t="array" ref="J18">_xlfn.LET(_xlpm.p,K18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18" s="11" t="s">
        <v>78</v>
      </c>
      <c r="L18" s="4">
        <v>1</v>
      </c>
      <c r="M18" s="21">
        <f>IF(OR(L18="",L18="-"),"-",IF(AND(ISNUMBER(I18),I18&lt;&gt;0),I18*L18,IF(ISNUMBER(H18),H18*L18,"-")))</f>
        <v>72310</v>
      </c>
      <c r="N18" s="5">
        <f>IF(OR(G18="",H18="",L18=""),"",(H18-G18)*L18)</f>
        <v>642.35000000000582</v>
      </c>
      <c r="O18" s="22">
        <f>IF(OR(G18="",G18=0,H18=""),"",((H18-G18)/G18)*100)</f>
        <v>0.8962900276484661</v>
      </c>
      <c r="P18" s="4" t="s">
        <v>79</v>
      </c>
      <c r="Q18" s="4" t="s">
        <v>4</v>
      </c>
      <c r="R18" s="4" t="s">
        <v>41</v>
      </c>
    </row>
    <row r="19" spans="1:19" hidden="1">
      <c r="A19" s="4">
        <f>ROW() - ROW($A$2)</f>
        <v>17</v>
      </c>
      <c r="B19" s="13">
        <v>46202</v>
      </c>
      <c r="C19" s="4" t="s">
        <v>75</v>
      </c>
      <c r="D19" s="4" t="s">
        <v>76</v>
      </c>
      <c r="E19" s="4" t="s">
        <v>63</v>
      </c>
      <c r="F19" s="4" t="s">
        <v>81</v>
      </c>
      <c r="G19" s="11">
        <v>16680</v>
      </c>
      <c r="H19" s="11">
        <v>16813</v>
      </c>
      <c r="I19" s="5"/>
      <c r="J19" s="11" t="str" cm="1">
        <f t="array" ref="J19">_xlfn.LET(_xlpm.p,K19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19" s="11" t="s">
        <v>78</v>
      </c>
      <c r="L19" s="4">
        <v>6</v>
      </c>
      <c r="M19" s="21">
        <f>IF(OR(L19="",L19="-"),"-",IF(AND(ISNUMBER(I19),I19&lt;&gt;0),I19*L19,IF(ISNUMBER(H19),H19*L19,"-")))</f>
        <v>100878</v>
      </c>
      <c r="N19" s="5">
        <f>IF(OR(G19="",H19="",L19=""),"",(H19-G19)*L19)</f>
        <v>798</v>
      </c>
      <c r="O19" s="22">
        <f>IF(OR(G19="",G19=0,H19=""),"",((H19-G19)/G19)*100)</f>
        <v>0.79736211031175064</v>
      </c>
      <c r="P19" s="4" t="s">
        <v>79</v>
      </c>
      <c r="Q19" s="4" t="s">
        <v>4</v>
      </c>
      <c r="R19" s="4" t="s">
        <v>41</v>
      </c>
    </row>
    <row r="20" spans="1:19" ht="30.75" hidden="1">
      <c r="A20" s="4">
        <v>17</v>
      </c>
      <c r="B20" s="13">
        <v>46203</v>
      </c>
      <c r="C20" s="4" t="s">
        <v>82</v>
      </c>
      <c r="D20" s="4" t="s">
        <v>83</v>
      </c>
      <c r="E20" s="4" t="s">
        <v>63</v>
      </c>
      <c r="F20" s="4" t="s">
        <v>84</v>
      </c>
      <c r="G20" s="5">
        <v>478.8</v>
      </c>
      <c r="H20" s="5">
        <v>486</v>
      </c>
      <c r="I20" s="5"/>
      <c r="J20" s="11" cm="1">
        <f t="array" ref="J20">_xlfn.LET(_xlpm.p,K20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31</v>
      </c>
      <c r="K20" s="11" t="s">
        <v>85</v>
      </c>
      <c r="L20" s="4">
        <v>5</v>
      </c>
      <c r="M20" s="21">
        <f>IF(OR(L20="",L20="-"),"-",IF(AND(ISNUMBER(I20),I20&lt;&gt;0),I20*L20,IF(ISNUMBER(H20),H20*L20,"-")))</f>
        <v>2430</v>
      </c>
      <c r="N20" s="5">
        <f t="shared" ref="N20:N31" si="0">IF(OR(G20="",H20="",L20=""),"",(H20-G20)*L20)</f>
        <v>35.999999999999943</v>
      </c>
      <c r="O20" s="22">
        <f t="shared" ref="O20:O21" si="1">IF(OR(G20="",G20=0,H20=""),"",((H20-G20)/G20)*100)</f>
        <v>1.5037593984962383</v>
      </c>
      <c r="P20" s="4" t="s">
        <v>40</v>
      </c>
      <c r="Q20" s="4" t="s">
        <v>4</v>
      </c>
      <c r="R20" s="4" t="s">
        <v>53</v>
      </c>
      <c r="S20" s="26" t="s">
        <v>86</v>
      </c>
    </row>
    <row r="21" spans="1:19" hidden="1">
      <c r="A21" s="4">
        <v>18</v>
      </c>
      <c r="B21" s="13">
        <v>46204</v>
      </c>
      <c r="C21" s="4" t="s">
        <v>87</v>
      </c>
      <c r="E21" s="4" t="s">
        <v>37</v>
      </c>
      <c r="F21" s="4" t="s">
        <v>45</v>
      </c>
      <c r="G21" s="4">
        <v>1336.32</v>
      </c>
      <c r="H21" s="5">
        <v>1385</v>
      </c>
      <c r="I21" s="5">
        <v>823.41095890410895</v>
      </c>
      <c r="J21" s="11" cm="1">
        <f t="array" ref="J21">_xlfn.LET(_xlpm.p,K21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216</v>
      </c>
      <c r="K21" s="5" t="s">
        <v>88</v>
      </c>
      <c r="L21" s="4">
        <v>2</v>
      </c>
      <c r="M21" s="21">
        <f>IF(OR(L21="",L21="-"),"-",IF(AND(ISNUMBER(I21),I21&lt;&gt;0),I21*L21,IF(ISNUMBER(H21),H21*L21,"-")))</f>
        <v>1646.8219178082179</v>
      </c>
      <c r="N21" s="5">
        <f t="shared" si="0"/>
        <v>97.360000000000127</v>
      </c>
      <c r="O21" s="22">
        <f t="shared" si="1"/>
        <v>3.6428400383141808</v>
      </c>
      <c r="P21" s="4" t="s">
        <v>51</v>
      </c>
      <c r="Q21" s="4" t="s">
        <v>4</v>
      </c>
      <c r="R21" s="4" t="s">
        <v>53</v>
      </c>
    </row>
    <row r="22" spans="1:19" hidden="1">
      <c r="A22" s="4">
        <v>19</v>
      </c>
      <c r="B22" s="13">
        <v>46216</v>
      </c>
      <c r="C22" s="4" t="s">
        <v>43</v>
      </c>
      <c r="D22" s="4" t="s">
        <v>89</v>
      </c>
      <c r="E22" s="4" t="s">
        <v>63</v>
      </c>
      <c r="F22" s="4" t="s">
        <v>45</v>
      </c>
      <c r="G22" s="5">
        <v>1583.04</v>
      </c>
      <c r="H22" s="5">
        <v>1600</v>
      </c>
      <c r="I22" s="5" t="s">
        <v>46</v>
      </c>
      <c r="J22" s="11" cm="1">
        <f t="array" ref="J22">_xlfn.LET(_xlpm.p,K22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2" s="5" t="s">
        <v>90</v>
      </c>
      <c r="L22" s="4">
        <v>120</v>
      </c>
      <c r="M22" s="21">
        <f>L22*H22</f>
        <v>192000</v>
      </c>
      <c r="N22" s="5">
        <f t="shared" si="0"/>
        <v>2035.2000000000044</v>
      </c>
      <c r="O22" s="22">
        <v>1</v>
      </c>
      <c r="P22" s="4" t="s">
        <v>40</v>
      </c>
      <c r="Q22" s="4" t="s">
        <v>4</v>
      </c>
      <c r="R22" s="4" t="s">
        <v>53</v>
      </c>
      <c r="S22" s="4" t="s">
        <v>91</v>
      </c>
    </row>
    <row r="23" spans="1:19" hidden="1">
      <c r="A23" s="4">
        <v>20</v>
      </c>
      <c r="B23" s="13">
        <v>46216</v>
      </c>
      <c r="C23" s="4" t="s">
        <v>43</v>
      </c>
      <c r="D23" s="4" t="s">
        <v>89</v>
      </c>
      <c r="E23" s="4" t="s">
        <v>63</v>
      </c>
      <c r="F23" s="4" t="s">
        <v>92</v>
      </c>
      <c r="G23" s="5">
        <v>6384</v>
      </c>
      <c r="H23" s="5">
        <v>6447.84</v>
      </c>
      <c r="I23" s="5" t="s">
        <v>46</v>
      </c>
      <c r="J23" s="11" cm="1">
        <f t="array" ref="J23">_xlfn.LET(_xlpm.p,K23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3" s="5" t="s">
        <v>90</v>
      </c>
      <c r="L23" s="4">
        <v>8</v>
      </c>
      <c r="M23" s="21">
        <f>L23*H23</f>
        <v>51582.720000000001</v>
      </c>
      <c r="N23" s="5">
        <f t="shared" si="0"/>
        <v>510.72000000000116</v>
      </c>
      <c r="O23" s="22">
        <v>1</v>
      </c>
      <c r="P23" s="4" t="s">
        <v>40</v>
      </c>
      <c r="Q23" s="4" t="s">
        <v>4</v>
      </c>
      <c r="R23" s="4" t="s">
        <v>53</v>
      </c>
    </row>
    <row r="24" spans="1:19" s="15" customFormat="1">
      <c r="A24" s="57">
        <v>21</v>
      </c>
      <c r="B24" s="62">
        <v>46226</v>
      </c>
      <c r="C24" s="57" t="s">
        <v>75</v>
      </c>
      <c r="D24" s="54"/>
      <c r="E24" s="15" t="s">
        <v>63</v>
      </c>
      <c r="F24" s="15" t="s">
        <v>45</v>
      </c>
      <c r="G24" s="19">
        <v>1599.4</v>
      </c>
      <c r="H24" s="19">
        <v>1640.2</v>
      </c>
      <c r="I24" s="19" t="s">
        <v>46</v>
      </c>
      <c r="J24" s="25" cm="1">
        <f t="array" ref="J24">_xlfn.LET(_xlpm.p,K24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4" s="19" t="s">
        <v>93</v>
      </c>
      <c r="L24" s="15">
        <v>5</v>
      </c>
      <c r="M24" s="18">
        <f>IF(OR(L24="",L24="-"),"-",IF(AND(ISNUMBER(I24),I24&lt;&gt;0),I24*L24,IF(ISNUMBER(H24),H24*L24,"-")))</f>
        <v>8201</v>
      </c>
      <c r="N24" s="19">
        <f t="shared" si="0"/>
        <v>203.99999999999977</v>
      </c>
      <c r="O24" s="20">
        <v>2.5</v>
      </c>
      <c r="P24" s="15" t="s">
        <v>40</v>
      </c>
      <c r="Q24" s="15" t="s">
        <v>94</v>
      </c>
      <c r="R24" s="15" t="s">
        <v>53</v>
      </c>
      <c r="S24" s="15" t="s">
        <v>95</v>
      </c>
    </row>
    <row r="25" spans="1:19" s="15" customFormat="1">
      <c r="A25" s="65"/>
      <c r="B25" s="63"/>
      <c r="C25" s="65"/>
      <c r="D25" s="55"/>
      <c r="E25" s="15" t="s">
        <v>63</v>
      </c>
      <c r="F25" s="15" t="s">
        <v>96</v>
      </c>
      <c r="G25" s="19">
        <v>8090.88</v>
      </c>
      <c r="H25" s="19">
        <v>8297.2999999999993</v>
      </c>
      <c r="I25" s="19" t="s">
        <v>46</v>
      </c>
      <c r="J25" s="25" cm="1">
        <f t="array" ref="J25">_xlfn.LET(_xlpm.p,K25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5" s="19" t="s">
        <v>93</v>
      </c>
      <c r="L25" s="15">
        <v>7</v>
      </c>
      <c r="M25" s="18">
        <f>IF(OR(L25="",L25="-"),"-",IF(AND(ISNUMBER(I25),I25&lt;&gt;0),I25*L25,IF(ISNUMBER(H25),H25*L25,"-")))</f>
        <v>58081.099999999991</v>
      </c>
      <c r="N25" s="19">
        <f t="shared" si="0"/>
        <v>1444.9399999999941</v>
      </c>
      <c r="O25" s="20">
        <v>2.5</v>
      </c>
      <c r="P25" s="15" t="s">
        <v>40</v>
      </c>
      <c r="Q25" s="15" t="s">
        <v>94</v>
      </c>
      <c r="R25" s="15" t="s">
        <v>53</v>
      </c>
      <c r="S25" s="15" t="s">
        <v>95</v>
      </c>
    </row>
    <row r="26" spans="1:19" s="15" customFormat="1">
      <c r="A26" s="58"/>
      <c r="B26" s="64"/>
      <c r="C26" s="58"/>
      <c r="D26" s="56"/>
      <c r="E26" s="15" t="s">
        <v>46</v>
      </c>
      <c r="F26" s="15" t="s">
        <v>97</v>
      </c>
      <c r="G26" s="19">
        <v>0</v>
      </c>
      <c r="H26" s="19">
        <v>300</v>
      </c>
      <c r="I26" s="19" t="s">
        <v>46</v>
      </c>
      <c r="J26" s="25" t="str" cm="1">
        <f t="array" ref="J26">_xlfn.LET(_xlpm.p,K26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26" s="19" t="s">
        <v>46</v>
      </c>
      <c r="L26" s="15">
        <v>12</v>
      </c>
      <c r="M26" s="18">
        <f>IF(OR(L26="",L26="-"),"-",IF(AND(ISNUMBER(I26),I26&lt;&gt;0),I26*L26,IF(ISNUMBER(H26),H26*L26,"-")))</f>
        <v>3600</v>
      </c>
      <c r="N26" s="19">
        <f t="shared" si="0"/>
        <v>3600</v>
      </c>
      <c r="O26" s="20" t="s">
        <v>46</v>
      </c>
      <c r="Q26" s="15" t="s">
        <v>94</v>
      </c>
      <c r="R26" s="15" t="s">
        <v>53</v>
      </c>
      <c r="S26" s="15" t="s">
        <v>95</v>
      </c>
    </row>
    <row r="27" spans="1:19" hidden="1">
      <c r="A27" s="4">
        <v>22</v>
      </c>
      <c r="B27" s="13">
        <v>46230</v>
      </c>
      <c r="C27" s="4" t="s">
        <v>98</v>
      </c>
      <c r="E27" s="4" t="s">
        <v>63</v>
      </c>
      <c r="F27" s="4" t="s">
        <v>45</v>
      </c>
      <c r="G27" s="5">
        <v>1591.2</v>
      </c>
      <c r="H27" s="5">
        <v>1670.8</v>
      </c>
      <c r="I27" s="5" t="s">
        <v>46</v>
      </c>
      <c r="J27" s="11" cm="1">
        <f t="array" ref="J27">_xlfn.LET(_xlpm.p,K27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7" s="5" t="s">
        <v>99</v>
      </c>
      <c r="L27" s="4">
        <v>16</v>
      </c>
      <c r="M27" s="21">
        <f>IF(OR(L27="",L27="-"),"-",IF(AND(ISNUMBER(I27),I27&lt;&gt;0),I27*L27,IF(ISNUMBER(H27),H27*L27,"-")))</f>
        <v>26732.799999999999</v>
      </c>
      <c r="N27" s="5">
        <f t="shared" si="0"/>
        <v>1273.5999999999985</v>
      </c>
      <c r="O27" s="22">
        <v>2.5</v>
      </c>
      <c r="P27" s="4" t="s">
        <v>40</v>
      </c>
      <c r="Q27" s="4" t="s">
        <v>4</v>
      </c>
      <c r="R27" s="4" t="s">
        <v>53</v>
      </c>
    </row>
    <row r="28" spans="1:19" ht="30.75" hidden="1">
      <c r="A28" s="4">
        <v>23</v>
      </c>
      <c r="B28" s="13">
        <v>46230</v>
      </c>
      <c r="C28" s="4" t="s">
        <v>100</v>
      </c>
      <c r="D28" s="44"/>
      <c r="E28" s="4" t="s">
        <v>63</v>
      </c>
      <c r="F28" s="4" t="s">
        <v>101</v>
      </c>
      <c r="G28" s="5">
        <v>81736.012799999997</v>
      </c>
      <c r="H28" s="5">
        <v>84030.99</v>
      </c>
      <c r="I28" s="5"/>
      <c r="J28" s="11" cm="1">
        <f t="array" ref="J28">_xlfn.LET(_xlpm.p,K28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28" s="5" t="s">
        <v>99</v>
      </c>
      <c r="L28" s="4">
        <v>1</v>
      </c>
      <c r="M28" s="21">
        <f>IF(OR(L28="",L28="-"),"-",IF(AND(ISNUMBER(I28),I28&lt;&gt;0),I28*L28,IF(ISNUMBER(H28),H28*L28,"-")))</f>
        <v>84030.99</v>
      </c>
      <c r="N28" s="5">
        <f t="shared" si="0"/>
        <v>2294.9772000000085</v>
      </c>
      <c r="O28" s="22">
        <v>2.81</v>
      </c>
      <c r="P28" s="4" t="s">
        <v>51</v>
      </c>
      <c r="Q28" s="4" t="s">
        <v>4</v>
      </c>
      <c r="R28" s="4" t="s">
        <v>53</v>
      </c>
      <c r="S28" s="26" t="s">
        <v>102</v>
      </c>
    </row>
    <row r="29" spans="1:19" hidden="1">
      <c r="A29" s="46">
        <v>24</v>
      </c>
      <c r="B29" s="59">
        <v>46232</v>
      </c>
      <c r="C29" s="46" t="s">
        <v>103</v>
      </c>
      <c r="D29" s="49"/>
      <c r="E29" s="4" t="s">
        <v>63</v>
      </c>
      <c r="F29" s="4" t="s">
        <v>104</v>
      </c>
      <c r="G29" s="5">
        <v>122669</v>
      </c>
      <c r="H29" s="5">
        <v>124509</v>
      </c>
      <c r="I29" s="5"/>
      <c r="J29" s="11" t="str" cm="1">
        <f t="array" ref="J29">_xlfn.LET(_xlpm.p,K29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29" s="11" t="s">
        <v>78</v>
      </c>
      <c r="L29" s="4">
        <v>1</v>
      </c>
      <c r="M29" s="21">
        <f>IF(OR(L29="",L29="-"),"-",IF(AND(ISNUMBER(I29),I29&lt;&gt;0),I29*L29,IF(ISNUMBER(H29),H29*L29,"-")))</f>
        <v>124509</v>
      </c>
      <c r="N29" s="5">
        <f t="shared" si="0"/>
        <v>1840</v>
      </c>
      <c r="O29" s="22">
        <v>1.5</v>
      </c>
      <c r="P29" s="4" t="s">
        <v>79</v>
      </c>
      <c r="Q29" s="46" t="s">
        <v>4</v>
      </c>
      <c r="R29" s="46" t="s">
        <v>41</v>
      </c>
    </row>
    <row r="30" spans="1:19" hidden="1">
      <c r="A30" s="47"/>
      <c r="B30" s="60"/>
      <c r="C30" s="47"/>
      <c r="D30" s="51"/>
      <c r="E30" s="4" t="s">
        <v>63</v>
      </c>
      <c r="F30" s="4" t="s">
        <v>105</v>
      </c>
      <c r="G30" s="5">
        <v>21308</v>
      </c>
      <c r="H30" s="5">
        <v>21627</v>
      </c>
      <c r="I30" s="5"/>
      <c r="J30" s="11" t="str" cm="1">
        <f t="array" ref="J30">_xlfn.LET(_xlpm.p,K30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30" s="11" t="s">
        <v>78</v>
      </c>
      <c r="L30" s="4">
        <v>3</v>
      </c>
      <c r="M30" s="21">
        <f>IF(OR(L30="",L30="-"),"-",IF(AND(ISNUMBER(I30),I30&lt;&gt;0),I30*L30,IF(ISNUMBER(H30),H30*L30,"-")))</f>
        <v>64881</v>
      </c>
      <c r="N30" s="5">
        <f t="shared" si="0"/>
        <v>957</v>
      </c>
      <c r="O30" s="22">
        <v>1.5</v>
      </c>
      <c r="P30" s="4" t="s">
        <v>79</v>
      </c>
      <c r="Q30" s="47"/>
      <c r="R30" s="47"/>
    </row>
    <row r="31" spans="1:19" hidden="1">
      <c r="A31" s="48"/>
      <c r="B31" s="61"/>
      <c r="C31" s="48"/>
      <c r="D31" s="50"/>
      <c r="E31" s="4" t="s">
        <v>63</v>
      </c>
      <c r="F31" s="4" t="s">
        <v>106</v>
      </c>
      <c r="G31" s="5">
        <v>71584.5</v>
      </c>
      <c r="H31" s="5">
        <v>72658</v>
      </c>
      <c r="I31" s="5"/>
      <c r="J31" s="11" t="str" cm="1">
        <f t="array" ref="J31">_xlfn.LET(_xlpm.p,K31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31" s="5" t="s">
        <v>107</v>
      </c>
      <c r="L31" s="4">
        <v>2</v>
      </c>
      <c r="M31" s="21">
        <f>IF(OR(L31="",L31="-"),"-",IF(AND(ISNUMBER(I31),I31&lt;&gt;0),I31*L31,IF(ISNUMBER(H31),H31*L31,"-")))</f>
        <v>145316</v>
      </c>
      <c r="N31" s="5">
        <f t="shared" si="0"/>
        <v>2147</v>
      </c>
      <c r="O31" s="22">
        <v>1.5</v>
      </c>
      <c r="P31" s="4" t="s">
        <v>79</v>
      </c>
      <c r="Q31" s="48"/>
      <c r="R31" s="48"/>
    </row>
    <row r="32" spans="1:19" hidden="1">
      <c r="A32" s="4">
        <v>25</v>
      </c>
      <c r="B32" s="13">
        <v>46239</v>
      </c>
      <c r="C32" s="4" t="s">
        <v>108</v>
      </c>
      <c r="E32" s="4" t="s">
        <v>59</v>
      </c>
      <c r="F32" s="4" t="s">
        <v>45</v>
      </c>
      <c r="G32" s="5">
        <v>1574.88</v>
      </c>
      <c r="H32" s="5">
        <v>1623.84</v>
      </c>
      <c r="I32" s="5"/>
      <c r="J32" s="11" cm="1">
        <f t="array" ref="J32">_xlfn.LET(_xlpm.p,K32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2" s="5" t="s">
        <v>109</v>
      </c>
      <c r="L32" s="4">
        <v>15</v>
      </c>
      <c r="M32" s="21">
        <f t="shared" ref="M32:M33" si="2">IF(OR(L32="",L32="-"),"-",IF(AND(ISNUMBER(I32),I32&lt;&gt;0),I32*L32,IF(ISNUMBER(H32),H32*L32,"-")))</f>
        <v>24357.599999999999</v>
      </c>
      <c r="N32" s="5">
        <f t="shared" ref="N32:N95" si="3">IF(OR(G32="",H32="",L32=""),"",(H32-G32)*L32)</f>
        <v>734.39999999999714</v>
      </c>
      <c r="O32" s="22">
        <v>2</v>
      </c>
      <c r="P32" s="4" t="s">
        <v>51</v>
      </c>
      <c r="Q32" s="4" t="s">
        <v>4</v>
      </c>
      <c r="R32" s="4" t="s">
        <v>53</v>
      </c>
    </row>
    <row r="33" spans="1:22" hidden="1">
      <c r="A33" s="4">
        <v>26</v>
      </c>
      <c r="B33" s="13">
        <v>46239</v>
      </c>
      <c r="C33" s="4" t="s">
        <v>110</v>
      </c>
      <c r="E33" s="4" t="s">
        <v>59</v>
      </c>
      <c r="F33" s="4" t="s">
        <v>45</v>
      </c>
      <c r="G33" s="5">
        <v>1574.88</v>
      </c>
      <c r="H33" s="4">
        <v>1664.6</v>
      </c>
      <c r="J33" s="11" cm="1">
        <f t="array" ref="J33">_xlfn.LET(_xlpm.p,K33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3" s="5" t="s">
        <v>109</v>
      </c>
      <c r="L33" s="4">
        <v>20</v>
      </c>
      <c r="M33" s="21">
        <f t="shared" si="2"/>
        <v>33292</v>
      </c>
      <c r="N33" s="5">
        <f t="shared" si="3"/>
        <v>1794.399999999996</v>
      </c>
      <c r="O33" s="22">
        <v>5.7</v>
      </c>
      <c r="P33" s="4" t="s">
        <v>51</v>
      </c>
      <c r="Q33" s="4" t="s">
        <v>4</v>
      </c>
      <c r="R33" s="4" t="s">
        <v>53</v>
      </c>
    </row>
    <row r="34" spans="1:22" hidden="1">
      <c r="A34" s="4">
        <v>27</v>
      </c>
      <c r="B34" s="13">
        <v>46240</v>
      </c>
      <c r="C34" s="4" t="s">
        <v>111</v>
      </c>
      <c r="E34" s="4" t="s">
        <v>59</v>
      </c>
      <c r="F34" s="4" t="s">
        <v>45</v>
      </c>
      <c r="G34" s="4">
        <v>1574.88</v>
      </c>
      <c r="H34" s="4">
        <v>1599.36</v>
      </c>
      <c r="J34" s="11" cm="1">
        <f t="array" ref="J34">_xlfn.LET(_xlpm.p,K34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4" s="4" t="s">
        <v>112</v>
      </c>
      <c r="L34" s="4">
        <v>190</v>
      </c>
      <c r="M34" s="21">
        <f>IF(OR(L34="",L34="-"),"-",IF(AND(ISNUMBER(I34),I34&lt;&gt;0),I34*L34,IF(ISNUMBER(H34),H34*L34,"-")))</f>
        <v>303878.39999999997</v>
      </c>
      <c r="N34" s="5">
        <f t="shared" si="3"/>
        <v>4651.1999999999607</v>
      </c>
      <c r="O34" s="22">
        <v>1.5</v>
      </c>
      <c r="P34" s="4" t="s">
        <v>51</v>
      </c>
      <c r="Q34" s="4" t="s">
        <v>4</v>
      </c>
      <c r="R34" s="4" t="s">
        <v>53</v>
      </c>
    </row>
    <row r="35" spans="1:22">
      <c r="A35" s="15">
        <v>28</v>
      </c>
      <c r="B35" s="14">
        <v>46241</v>
      </c>
      <c r="C35" s="57" t="s">
        <v>103</v>
      </c>
      <c r="D35" s="54"/>
      <c r="E35" s="15" t="s">
        <v>59</v>
      </c>
      <c r="F35" s="15" t="s">
        <v>45</v>
      </c>
      <c r="G35" s="15">
        <v>1574.88</v>
      </c>
      <c r="H35" s="15">
        <v>1640.2</v>
      </c>
      <c r="I35" s="15"/>
      <c r="J35" s="25" cm="1">
        <f t="array" ref="J35">_xlfn.LET(_xlpm.p,K35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5" s="15" t="s">
        <v>113</v>
      </c>
      <c r="L35" s="15">
        <v>2</v>
      </c>
      <c r="M35" s="18">
        <f>IF(OR(L35="",L35="-"),"-",IF(AND(ISNUMBER(I35),I35&lt;&gt;0),I35*L35,IF(ISNUMBER(H35),H35*L35,"-")))</f>
        <v>3280.4</v>
      </c>
      <c r="N35" s="19">
        <f t="shared" si="3"/>
        <v>130.63999999999987</v>
      </c>
      <c r="O35" s="20">
        <v>4</v>
      </c>
      <c r="P35" s="15" t="s">
        <v>51</v>
      </c>
      <c r="Q35" s="57" t="s">
        <v>94</v>
      </c>
      <c r="R35" s="57" t="s">
        <v>53</v>
      </c>
      <c r="S35" s="15" t="s">
        <v>114</v>
      </c>
      <c r="T35" s="27"/>
      <c r="U35" s="27"/>
      <c r="V35" s="27"/>
    </row>
    <row r="36" spans="1:22" hidden="1">
      <c r="A36" s="15"/>
      <c r="B36" s="14"/>
      <c r="C36" s="58"/>
      <c r="D36" s="56"/>
      <c r="E36" s="15" t="s">
        <v>59</v>
      </c>
      <c r="F36" s="15" t="s">
        <v>96</v>
      </c>
      <c r="G36" s="15">
        <v>7967.04</v>
      </c>
      <c r="H36" s="19">
        <v>8297.2999999999993</v>
      </c>
      <c r="I36" s="15"/>
      <c r="J36" s="25" cm="1">
        <f t="array" ref="J36">_xlfn.LET(_xlpm.p,K36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6" s="15" t="s">
        <v>113</v>
      </c>
      <c r="L36" s="15">
        <v>11</v>
      </c>
      <c r="M36" s="18">
        <f>IF(OR(L36="",L36="-"),"-",IF(AND(ISNUMBER(I36),I36&lt;&gt;0),I36*L36,IF(ISNUMBER(H36),H36*L36,"-")))</f>
        <v>91270.299999999988</v>
      </c>
      <c r="N36" s="19">
        <f t="shared" si="3"/>
        <v>3632.8599999999924</v>
      </c>
      <c r="O36" s="20">
        <v>4</v>
      </c>
      <c r="P36" s="15" t="s">
        <v>51</v>
      </c>
      <c r="Q36" s="58"/>
      <c r="R36" s="65"/>
      <c r="S36" s="15" t="s">
        <v>114</v>
      </c>
      <c r="T36" s="27"/>
      <c r="U36" s="27"/>
      <c r="V36" s="27"/>
    </row>
    <row r="37" spans="1:22">
      <c r="A37" s="15">
        <v>29</v>
      </c>
      <c r="B37" s="14">
        <v>46241</v>
      </c>
      <c r="C37" s="57" t="s">
        <v>75</v>
      </c>
      <c r="D37" s="54"/>
      <c r="E37" s="15" t="s">
        <v>59</v>
      </c>
      <c r="F37" s="15" t="s">
        <v>115</v>
      </c>
      <c r="G37" s="15">
        <v>165</v>
      </c>
      <c r="H37" s="15">
        <v>170</v>
      </c>
      <c r="I37" s="15"/>
      <c r="J37" s="25" cm="1">
        <f t="array" ref="J37">_xlfn.LET(_xlpm.p,K37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7" s="15" t="s">
        <v>113</v>
      </c>
      <c r="L37" s="15">
        <v>2</v>
      </c>
      <c r="M37" s="18">
        <f>IF(OR(L37="",L37="-"),"-",IF(AND(ISNUMBER(I37),I37&lt;&gt;0),I37*L37,IF(ISNUMBER(H37),H37*L37,"-")))</f>
        <v>340</v>
      </c>
      <c r="N37" s="19">
        <f t="shared" si="3"/>
        <v>10</v>
      </c>
      <c r="O37" s="20">
        <v>3.5</v>
      </c>
      <c r="P37" s="15" t="s">
        <v>51</v>
      </c>
      <c r="Q37" s="57" t="s">
        <v>94</v>
      </c>
      <c r="R37" s="57" t="s">
        <v>53</v>
      </c>
      <c r="S37" s="15" t="s">
        <v>114</v>
      </c>
      <c r="T37" s="27"/>
      <c r="U37" s="27"/>
      <c r="V37" s="27"/>
    </row>
    <row r="38" spans="1:22" hidden="1">
      <c r="A38" s="15"/>
      <c r="B38" s="14"/>
      <c r="C38" s="58"/>
      <c r="D38" s="56"/>
      <c r="E38" s="15" t="s">
        <v>59</v>
      </c>
      <c r="F38" s="15" t="s">
        <v>45</v>
      </c>
      <c r="G38" s="15">
        <v>1574.88</v>
      </c>
      <c r="H38" s="15">
        <v>1640.2</v>
      </c>
      <c r="I38" s="15"/>
      <c r="J38" s="25" cm="1">
        <f t="array" ref="J38">_xlfn.LET(_xlpm.p,K38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38" s="15" t="s">
        <v>113</v>
      </c>
      <c r="L38" s="15">
        <v>3</v>
      </c>
      <c r="M38" s="18">
        <f>IF(OR(L38="",L38="-"),"-",IF(AND(ISNUMBER(I38),I38&lt;&gt;0),I38*L38,IF(ISNUMBER(H38),H38*L38,"-")))</f>
        <v>4920.6000000000004</v>
      </c>
      <c r="N38" s="19">
        <f t="shared" si="3"/>
        <v>195.95999999999981</v>
      </c>
      <c r="O38" s="20">
        <v>4</v>
      </c>
      <c r="P38" s="15" t="s">
        <v>51</v>
      </c>
      <c r="Q38" s="58"/>
      <c r="R38" s="65"/>
      <c r="S38" s="15" t="s">
        <v>114</v>
      </c>
      <c r="T38" s="27"/>
      <c r="U38" s="27"/>
      <c r="V38" s="27"/>
    </row>
    <row r="39" spans="1:22" hidden="1">
      <c r="A39" s="4">
        <v>30</v>
      </c>
      <c r="B39" s="13">
        <v>46244</v>
      </c>
      <c r="C39" s="4" t="s">
        <v>75</v>
      </c>
      <c r="E39" s="4" t="s">
        <v>63</v>
      </c>
      <c r="F39" s="4" t="s">
        <v>116</v>
      </c>
      <c r="G39" s="4">
        <v>71694</v>
      </c>
      <c r="H39" s="4">
        <v>73127</v>
      </c>
      <c r="J39" s="11" t="str" cm="1">
        <f t="array" ref="J39">_xlfn.LET(_xlpm.p,K39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39" s="5" t="s">
        <v>107</v>
      </c>
      <c r="L39" s="4">
        <v>2</v>
      </c>
      <c r="M39" s="21">
        <f>IF(OR(L39="",L39="-"),"-",IF(AND(ISNUMBER(I39),I39&lt;&gt;0),I39*L39,IF(ISNUMBER(H39),H39*L39,"-")))</f>
        <v>146254</v>
      </c>
      <c r="N39" s="5">
        <f t="shared" si="3"/>
        <v>2866</v>
      </c>
      <c r="O39" s="22">
        <v>2</v>
      </c>
      <c r="P39" s="4" t="s">
        <v>79</v>
      </c>
      <c r="Q39" s="4" t="s">
        <v>4</v>
      </c>
      <c r="R39" s="4" t="s">
        <v>53</v>
      </c>
    </row>
    <row r="40" spans="1:22" hidden="1">
      <c r="A40" s="4">
        <v>31</v>
      </c>
      <c r="B40" s="13">
        <v>46244</v>
      </c>
      <c r="C40" s="4" t="s">
        <v>55</v>
      </c>
      <c r="E40" s="4" t="s">
        <v>59</v>
      </c>
      <c r="F40" s="4" t="s">
        <v>45</v>
      </c>
      <c r="G40" s="5">
        <v>1599.36</v>
      </c>
      <c r="H40" s="5">
        <v>1615.35</v>
      </c>
      <c r="J40" s="11" cm="1">
        <f t="array" ref="J40">_xlfn.LET(_xlpm.p,K40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0" s="4" t="s">
        <v>117</v>
      </c>
      <c r="L40" s="4">
        <v>65</v>
      </c>
      <c r="M40" s="21">
        <f>IF(OR(L40="",L40="-"),"-",IF(AND(ISNUMBER(I40),I40&lt;&gt;0),I40*L40,IF(ISNUMBER(H40),H40*L40,"-")))</f>
        <v>104997.75</v>
      </c>
      <c r="N40" s="5">
        <f t="shared" si="3"/>
        <v>1039.3500000000006</v>
      </c>
      <c r="O40" s="22">
        <v>1</v>
      </c>
      <c r="P40" s="4" t="s">
        <v>40</v>
      </c>
      <c r="Q40" s="4" t="s">
        <v>4</v>
      </c>
      <c r="R40" s="4" t="s">
        <v>53</v>
      </c>
    </row>
    <row r="41" spans="1:22" hidden="1">
      <c r="A41" s="46">
        <v>32</v>
      </c>
      <c r="B41" s="13">
        <v>46245</v>
      </c>
      <c r="C41" s="4" t="s">
        <v>118</v>
      </c>
      <c r="D41" s="49"/>
      <c r="E41" s="4" t="s">
        <v>63</v>
      </c>
      <c r="F41" s="4" t="s">
        <v>45</v>
      </c>
      <c r="G41" s="4">
        <v>1574.88</v>
      </c>
      <c r="H41" s="4">
        <v>1640.2</v>
      </c>
      <c r="J41" s="11" cm="1">
        <f t="array" ref="J41">_xlfn.LET(_xlpm.p,K41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1" s="4" t="s">
        <v>119</v>
      </c>
      <c r="L41" s="4">
        <v>15</v>
      </c>
      <c r="M41" s="21">
        <f>IF(OR(L41="",L41="-"),"-",IF(AND(ISNUMBER(I41),I41&lt;&gt;0),I41*L41,IF(ISNUMBER(H41),H41*L41,"-")))</f>
        <v>24603</v>
      </c>
      <c r="N41" s="5">
        <f t="shared" si="3"/>
        <v>979.79999999999905</v>
      </c>
      <c r="O41" s="22">
        <v>4.1500000000000004</v>
      </c>
      <c r="P41" s="4" t="s">
        <v>51</v>
      </c>
      <c r="Q41" s="46" t="s">
        <v>4</v>
      </c>
      <c r="R41" s="46" t="s">
        <v>53</v>
      </c>
    </row>
    <row r="42" spans="1:22" hidden="1">
      <c r="A42" s="48"/>
      <c r="D42" s="50"/>
      <c r="E42" s="4" t="s">
        <v>46</v>
      </c>
      <c r="F42" s="4" t="s">
        <v>97</v>
      </c>
      <c r="G42" s="4">
        <v>0</v>
      </c>
      <c r="H42" s="4">
        <v>300</v>
      </c>
      <c r="J42" s="11" t="str" cm="1">
        <f t="array" ref="J42">_xlfn.LET(_xlpm.p,K42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42" s="4" t="s">
        <v>46</v>
      </c>
      <c r="L42" s="4">
        <v>15</v>
      </c>
      <c r="M42" s="21">
        <f>IF(OR(L42="",L42="-"),"-",IF(AND(ISNUMBER(I42),I42&lt;&gt;0),I42*L42,IF(ISNUMBER(H42),H42*L42,"-")))</f>
        <v>4500</v>
      </c>
      <c r="N42" s="5">
        <f t="shared" si="3"/>
        <v>4500</v>
      </c>
      <c r="O42" s="22" t="s">
        <v>46</v>
      </c>
      <c r="Q42" s="48"/>
      <c r="R42" s="48"/>
    </row>
    <row r="43" spans="1:22" hidden="1">
      <c r="A43" s="46">
        <v>33</v>
      </c>
      <c r="B43" s="59">
        <v>46246</v>
      </c>
      <c r="C43" s="4" t="s">
        <v>120</v>
      </c>
      <c r="D43" s="49"/>
      <c r="E43" s="46" t="s">
        <v>63</v>
      </c>
      <c r="F43" s="4" t="s">
        <v>96</v>
      </c>
      <c r="G43" s="11">
        <v>8090.88</v>
      </c>
      <c r="H43" s="11">
        <v>8462</v>
      </c>
      <c r="J43" s="11" cm="1">
        <f t="array" ref="J43">_xlfn.LET(_xlpm.p,K43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3" s="4" t="s">
        <v>121</v>
      </c>
      <c r="L43" s="4">
        <v>25</v>
      </c>
      <c r="M43" s="21">
        <f t="shared" ref="M43:M100" si="4">IF(OR(L43="",L43="-"),"-",IF(AND(ISNUMBER(I43),I43&lt;&gt;0),I43*L43,IF(ISNUMBER(H43),H43*L43,"-")))</f>
        <v>211550</v>
      </c>
      <c r="N43" s="5">
        <f t="shared" si="3"/>
        <v>9277.9999999999964</v>
      </c>
      <c r="O43" s="22">
        <f t="shared" ref="O43:O100" si="5">IF(OR(G43="",G43=0,H43=""),"",((H43-G43)/G43)*100)</f>
        <v>4.58689289669356</v>
      </c>
      <c r="P43" s="4" t="s">
        <v>40</v>
      </c>
      <c r="Q43" s="46" t="s">
        <v>4</v>
      </c>
      <c r="R43" s="46" t="s">
        <v>53</v>
      </c>
    </row>
    <row r="44" spans="1:22" hidden="1">
      <c r="A44" s="48"/>
      <c r="B44" s="61"/>
      <c r="D44" s="50"/>
      <c r="E44" s="48"/>
      <c r="F44" s="4" t="s">
        <v>97</v>
      </c>
      <c r="G44" s="11">
        <v>0</v>
      </c>
      <c r="H44" s="11">
        <v>350</v>
      </c>
      <c r="J44" s="11" t="str" cm="1">
        <f t="array" ref="J44">_xlfn.LET(_xlpm.p,K44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44" s="4" t="s">
        <v>46</v>
      </c>
      <c r="L44" s="4">
        <v>20</v>
      </c>
      <c r="M44" s="21">
        <f t="shared" si="4"/>
        <v>7000</v>
      </c>
      <c r="N44" s="5">
        <f t="shared" si="3"/>
        <v>7000</v>
      </c>
      <c r="O44" s="22" t="s">
        <v>46</v>
      </c>
      <c r="Q44" s="48"/>
      <c r="R44" s="48"/>
    </row>
    <row r="45" spans="1:22" hidden="1">
      <c r="A45" s="4">
        <f t="shared" ref="A43:A100" si="6">ROW() - ROW($A$2)</f>
        <v>43</v>
      </c>
      <c r="B45" s="13">
        <v>46246</v>
      </c>
      <c r="C45" s="4" t="s">
        <v>122</v>
      </c>
      <c r="E45" s="4" t="s">
        <v>37</v>
      </c>
      <c r="F45" s="4" t="s">
        <v>45</v>
      </c>
      <c r="G45" s="11">
        <v>1343.28</v>
      </c>
      <c r="H45" s="11">
        <v>1392</v>
      </c>
      <c r="I45" s="4">
        <v>118.22</v>
      </c>
      <c r="J45" s="11" cm="1">
        <f t="array" ref="J45">_xlfn.LET(_xlpm.p,K45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31</v>
      </c>
      <c r="K45" s="4" t="s">
        <v>123</v>
      </c>
      <c r="L45" s="4">
        <v>2</v>
      </c>
      <c r="M45" s="21">
        <f t="shared" si="4"/>
        <v>236.44</v>
      </c>
      <c r="N45" s="5">
        <f t="shared" si="3"/>
        <v>97.440000000000055</v>
      </c>
      <c r="O45" s="22">
        <f t="shared" si="5"/>
        <v>3.6269430051813489</v>
      </c>
      <c r="P45" s="4" t="s">
        <v>51</v>
      </c>
      <c r="Q45" s="4" t="s">
        <v>4</v>
      </c>
      <c r="R45" s="4" t="s">
        <v>53</v>
      </c>
    </row>
    <row r="46" spans="1:22">
      <c r="A46" s="4">
        <f t="shared" si="6"/>
        <v>44</v>
      </c>
      <c r="B46" s="13">
        <v>46252</v>
      </c>
      <c r="C46" s="4" t="s">
        <v>124</v>
      </c>
      <c r="E46" s="4" t="s">
        <v>59</v>
      </c>
      <c r="F46" s="4" t="s">
        <v>45</v>
      </c>
      <c r="G46" s="11">
        <v>1583.04</v>
      </c>
      <c r="H46" s="11">
        <v>1632</v>
      </c>
      <c r="J46" s="11" cm="1">
        <f t="array" ref="J46">_xlfn.LET(_xlpm.p,K46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6" s="4" t="s">
        <v>125</v>
      </c>
      <c r="L46" s="4">
        <v>1</v>
      </c>
      <c r="M46" s="21">
        <f t="shared" si="4"/>
        <v>1632</v>
      </c>
      <c r="N46" s="5">
        <f t="shared" si="3"/>
        <v>48.960000000000036</v>
      </c>
      <c r="O46" s="22">
        <f t="shared" si="5"/>
        <v>3.0927835051546415</v>
      </c>
      <c r="P46" s="4" t="s">
        <v>51</v>
      </c>
      <c r="Q46" s="4" t="s">
        <v>94</v>
      </c>
      <c r="R46" s="4" t="s">
        <v>53</v>
      </c>
      <c r="S46" s="4" t="s">
        <v>126</v>
      </c>
    </row>
    <row r="47" spans="1:22" hidden="1">
      <c r="A47" s="4">
        <f t="shared" si="6"/>
        <v>45</v>
      </c>
      <c r="B47" s="13">
        <v>46253</v>
      </c>
      <c r="C47" s="4" t="s">
        <v>127</v>
      </c>
      <c r="E47" s="4" t="s">
        <v>63</v>
      </c>
      <c r="F47" s="4" t="s">
        <v>128</v>
      </c>
      <c r="G47" s="11">
        <v>36184</v>
      </c>
      <c r="H47" s="11">
        <v>36365</v>
      </c>
      <c r="J47" s="11" t="str" cm="1">
        <f t="array" ref="J47">_xlfn.LET(_xlpm.p,K47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47" s="4" t="s">
        <v>78</v>
      </c>
      <c r="L47" s="4">
        <v>40</v>
      </c>
      <c r="M47" s="21">
        <f t="shared" si="4"/>
        <v>1454600</v>
      </c>
      <c r="N47" s="5">
        <f t="shared" si="3"/>
        <v>7240</v>
      </c>
      <c r="O47" s="22">
        <f t="shared" si="5"/>
        <v>0.50022109219544542</v>
      </c>
      <c r="P47" s="4" t="s">
        <v>79</v>
      </c>
      <c r="Q47" s="4" t="s">
        <v>4</v>
      </c>
      <c r="R47" s="4" t="s">
        <v>53</v>
      </c>
      <c r="S47" s="4" t="s">
        <v>129</v>
      </c>
    </row>
    <row r="48" spans="1:22">
      <c r="A48" s="4">
        <f t="shared" si="6"/>
        <v>46</v>
      </c>
      <c r="B48" s="13">
        <v>46253</v>
      </c>
      <c r="C48" s="4" t="s">
        <v>73</v>
      </c>
      <c r="E48" s="4" t="s">
        <v>37</v>
      </c>
      <c r="F48" s="4" t="s">
        <v>45</v>
      </c>
      <c r="G48" s="11">
        <v>1350.24</v>
      </c>
      <c r="H48" s="11">
        <v>1392</v>
      </c>
      <c r="I48" s="4">
        <v>1098.3499999999999</v>
      </c>
      <c r="J48" s="11" cm="1">
        <f t="array" ref="J48">_xlfn.LET(_xlpm.p,K48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288</v>
      </c>
      <c r="K48" s="4" t="s">
        <v>130</v>
      </c>
      <c r="L48" s="4">
        <v>8</v>
      </c>
      <c r="M48" s="21">
        <f t="shared" si="4"/>
        <v>8786.7999999999993</v>
      </c>
      <c r="N48" s="5">
        <f t="shared" si="3"/>
        <v>334.07999999999993</v>
      </c>
      <c r="O48" s="22">
        <f t="shared" si="5"/>
        <v>3.0927835051546384</v>
      </c>
      <c r="P48" s="4" t="s">
        <v>51</v>
      </c>
      <c r="Q48" s="4" t="s">
        <v>94</v>
      </c>
      <c r="R48" s="4" t="s">
        <v>53</v>
      </c>
    </row>
    <row r="49" spans="1:19">
      <c r="A49" s="4">
        <f t="shared" si="6"/>
        <v>47</v>
      </c>
      <c r="B49" s="13">
        <v>46254</v>
      </c>
      <c r="C49" s="4" t="s">
        <v>131</v>
      </c>
      <c r="E49" s="4" t="s">
        <v>59</v>
      </c>
      <c r="F49" s="4" t="s">
        <v>96</v>
      </c>
      <c r="G49" s="11">
        <v>8008.32</v>
      </c>
      <c r="H49" s="11">
        <v>8379.84</v>
      </c>
      <c r="J49" s="11" cm="1">
        <f t="array" ref="J49">_xlfn.LET(_xlpm.p,K49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49" s="4" t="s">
        <v>132</v>
      </c>
      <c r="L49" s="4">
        <v>1</v>
      </c>
      <c r="M49" s="21">
        <f t="shared" si="4"/>
        <v>8379.84</v>
      </c>
      <c r="N49" s="5">
        <f t="shared" si="3"/>
        <v>371.52000000000044</v>
      </c>
      <c r="O49" s="22">
        <f t="shared" si="5"/>
        <v>4.6391752577319645</v>
      </c>
      <c r="P49" s="4" t="s">
        <v>51</v>
      </c>
      <c r="Q49" s="4" t="s">
        <v>94</v>
      </c>
      <c r="R49" s="4" t="s">
        <v>53</v>
      </c>
    </row>
    <row r="50" spans="1:19" hidden="1">
      <c r="A50" s="4">
        <f t="shared" si="6"/>
        <v>48</v>
      </c>
      <c r="B50" s="13">
        <v>46254</v>
      </c>
      <c r="C50" s="4" t="s">
        <v>127</v>
      </c>
      <c r="E50" s="4" t="s">
        <v>63</v>
      </c>
      <c r="F50" s="4" t="s">
        <v>133</v>
      </c>
      <c r="G50" s="11">
        <v>23952</v>
      </c>
      <c r="H50" s="11">
        <v>24192</v>
      </c>
      <c r="J50" s="11" cm="1">
        <f t="array" ref="J50">_xlfn.LET(_xlpm.p,K50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0" s="4" t="s">
        <v>132</v>
      </c>
      <c r="L50" s="4">
        <v>2</v>
      </c>
      <c r="M50" s="21">
        <f t="shared" si="4"/>
        <v>48384</v>
      </c>
      <c r="N50" s="5">
        <f t="shared" si="3"/>
        <v>480</v>
      </c>
      <c r="O50" s="22">
        <f t="shared" si="5"/>
        <v>1.002004008016032</v>
      </c>
      <c r="P50" s="4" t="s">
        <v>79</v>
      </c>
      <c r="Q50" s="4" t="s">
        <v>4</v>
      </c>
      <c r="R50" s="4" t="s">
        <v>53</v>
      </c>
      <c r="S50" s="4" t="s">
        <v>129</v>
      </c>
    </row>
    <row r="51" spans="1:19">
      <c r="A51" s="4">
        <f t="shared" si="6"/>
        <v>49</v>
      </c>
      <c r="B51" s="13">
        <v>46255</v>
      </c>
      <c r="C51" s="4" t="s">
        <v>100</v>
      </c>
      <c r="E51" s="4" t="s">
        <v>63</v>
      </c>
      <c r="F51" s="4" t="s">
        <v>134</v>
      </c>
      <c r="G51" s="11">
        <v>710.09820000000002</v>
      </c>
      <c r="H51" s="11">
        <v>717.19918199999995</v>
      </c>
      <c r="J51" s="11" cm="1">
        <f t="array" ref="J51">_xlfn.LET(_xlpm.p,K51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1" s="4" t="s">
        <v>135</v>
      </c>
      <c r="L51" s="4">
        <v>3</v>
      </c>
      <c r="M51" s="21">
        <f t="shared" si="4"/>
        <v>2151.597546</v>
      </c>
      <c r="N51" s="5">
        <f t="shared" si="3"/>
        <v>21.302945999999793</v>
      </c>
      <c r="O51" s="22">
        <f t="shared" si="5"/>
        <v>0.99999999999999034</v>
      </c>
      <c r="P51" s="4" t="s">
        <v>51</v>
      </c>
      <c r="Q51" s="4" t="s">
        <v>94</v>
      </c>
      <c r="R51" s="4" t="s">
        <v>53</v>
      </c>
      <c r="S51" s="4" t="s">
        <v>136</v>
      </c>
    </row>
    <row r="52" spans="1:19" hidden="1">
      <c r="A52" s="4">
        <f t="shared" si="6"/>
        <v>50</v>
      </c>
      <c r="B52" s="13">
        <v>46257</v>
      </c>
      <c r="C52" s="4" t="s">
        <v>118</v>
      </c>
      <c r="E52" s="4" t="s">
        <v>46</v>
      </c>
      <c r="F52" s="4" t="s">
        <v>97</v>
      </c>
      <c r="G52" s="4">
        <v>0</v>
      </c>
      <c r="H52" s="11">
        <v>300</v>
      </c>
      <c r="J52" s="11" t="str" cm="1">
        <f t="array" ref="J52">_xlfn.LET(_xlpm.p,K52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K52" s="4" t="s">
        <v>46</v>
      </c>
      <c r="L52" s="4">
        <v>2</v>
      </c>
      <c r="M52" s="21">
        <f t="shared" si="4"/>
        <v>600</v>
      </c>
      <c r="N52" s="5">
        <f t="shared" si="3"/>
        <v>600</v>
      </c>
      <c r="O52" s="22" t="s">
        <v>46</v>
      </c>
      <c r="Q52" s="4" t="s">
        <v>4</v>
      </c>
      <c r="R52" s="4" t="s">
        <v>53</v>
      </c>
    </row>
    <row r="53" spans="1:19">
      <c r="A53" s="4">
        <f t="shared" si="6"/>
        <v>51</v>
      </c>
      <c r="B53" s="13">
        <v>46258</v>
      </c>
      <c r="C53" s="4" t="s">
        <v>58</v>
      </c>
      <c r="E53" s="4" t="s">
        <v>59</v>
      </c>
      <c r="F53" s="4" t="s">
        <v>45</v>
      </c>
      <c r="G53" s="11">
        <v>1583.04</v>
      </c>
      <c r="H53" s="11">
        <v>1615.68</v>
      </c>
      <c r="J53" s="11" cm="1">
        <f t="array" ref="J53">_xlfn.LET(_xlpm.p,K53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3" s="4" t="s">
        <v>137</v>
      </c>
      <c r="L53" s="4">
        <v>8</v>
      </c>
      <c r="M53" s="21">
        <f t="shared" si="4"/>
        <v>12925.44</v>
      </c>
      <c r="N53" s="5">
        <f t="shared" si="3"/>
        <v>261.1200000000008</v>
      </c>
      <c r="O53" s="22">
        <f t="shared" si="5"/>
        <v>2.0618556701030988</v>
      </c>
      <c r="P53" s="4" t="s">
        <v>51</v>
      </c>
      <c r="Q53" s="4" t="s">
        <v>94</v>
      </c>
      <c r="R53" s="4" t="s">
        <v>53</v>
      </c>
    </row>
    <row r="54" spans="1:19">
      <c r="A54" s="4">
        <f t="shared" si="6"/>
        <v>52</v>
      </c>
      <c r="B54" s="13">
        <v>46258</v>
      </c>
      <c r="C54" s="4" t="s">
        <v>124</v>
      </c>
      <c r="E54" s="4" t="s">
        <v>59</v>
      </c>
      <c r="F54" s="4" t="s">
        <v>45</v>
      </c>
      <c r="G54" s="11">
        <v>1583.04</v>
      </c>
      <c r="H54" s="11">
        <v>1607.52</v>
      </c>
      <c r="J54" s="11" cm="1">
        <f t="array" ref="J54">_xlfn.LET(_xlpm.p,K54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4" s="4" t="s">
        <v>137</v>
      </c>
      <c r="L54" s="4">
        <v>40</v>
      </c>
      <c r="M54" s="21">
        <f t="shared" si="4"/>
        <v>64300.800000000003</v>
      </c>
      <c r="N54" s="5">
        <f t="shared" si="3"/>
        <v>979.20000000000073</v>
      </c>
      <c r="O54" s="22">
        <f t="shared" si="5"/>
        <v>1.5463917525773208</v>
      </c>
      <c r="P54" s="4" t="s">
        <v>51</v>
      </c>
      <c r="Q54" s="4" t="s">
        <v>94</v>
      </c>
      <c r="R54" s="4" t="s">
        <v>53</v>
      </c>
    </row>
    <row r="55" spans="1:19" hidden="1">
      <c r="A55" s="4">
        <f t="shared" si="6"/>
        <v>53</v>
      </c>
      <c r="B55" s="13">
        <v>46258</v>
      </c>
      <c r="C55" s="4" t="s">
        <v>138</v>
      </c>
      <c r="E55" s="4" t="s">
        <v>59</v>
      </c>
      <c r="F55" s="4" t="s">
        <v>45</v>
      </c>
      <c r="G55" s="11">
        <v>1615.68</v>
      </c>
      <c r="H55" s="11">
        <v>1648.32</v>
      </c>
      <c r="J55" s="11" cm="1">
        <f t="array" ref="J55">_xlfn.LET(_xlpm.p,K55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5" s="4" t="s">
        <v>137</v>
      </c>
      <c r="L55" s="4">
        <v>2</v>
      </c>
      <c r="M55" s="21">
        <f t="shared" si="4"/>
        <v>3296.64</v>
      </c>
      <c r="N55" s="5">
        <f t="shared" si="3"/>
        <v>65.279999999999745</v>
      </c>
      <c r="O55" s="22">
        <f t="shared" si="5"/>
        <v>2.0202020202020123</v>
      </c>
      <c r="P55" s="4" t="s">
        <v>40</v>
      </c>
      <c r="Q55" s="4" t="s">
        <v>4</v>
      </c>
      <c r="R55" s="4" t="s">
        <v>41</v>
      </c>
    </row>
    <row r="56" spans="1:19" hidden="1">
      <c r="A56" s="4">
        <f t="shared" si="6"/>
        <v>54</v>
      </c>
      <c r="B56" s="13">
        <v>46259</v>
      </c>
      <c r="C56" s="4" t="s">
        <v>98</v>
      </c>
      <c r="E56" s="4" t="s">
        <v>46</v>
      </c>
      <c r="F56" s="4" t="s">
        <v>139</v>
      </c>
      <c r="G56" s="11">
        <v>0</v>
      </c>
      <c r="H56" s="11">
        <v>1695</v>
      </c>
      <c r="J56" s="11" cm="1">
        <f t="array" ref="J56">_xlfn.LET(_xlpm.p,K56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6" s="4" t="s">
        <v>140</v>
      </c>
      <c r="L56" s="4">
        <v>1</v>
      </c>
      <c r="M56" s="21">
        <f t="shared" si="4"/>
        <v>1695</v>
      </c>
      <c r="N56" s="5">
        <f t="shared" si="3"/>
        <v>1695</v>
      </c>
      <c r="O56" s="22" t="s">
        <v>46</v>
      </c>
      <c r="Q56" s="4" t="s">
        <v>4</v>
      </c>
      <c r="R56" s="4" t="s">
        <v>53</v>
      </c>
      <c r="S56" s="4" t="s">
        <v>141</v>
      </c>
    </row>
    <row r="57" spans="1:19" hidden="1">
      <c r="A57" s="4">
        <f t="shared" si="6"/>
        <v>55</v>
      </c>
      <c r="B57" s="13">
        <v>46261</v>
      </c>
      <c r="C57" s="4" t="s">
        <v>61</v>
      </c>
      <c r="D57" s="66"/>
      <c r="E57" s="66" t="s">
        <v>63</v>
      </c>
      <c r="F57" s="4" t="s">
        <v>45</v>
      </c>
      <c r="G57" s="11">
        <v>1607.52</v>
      </c>
      <c r="H57" s="11">
        <v>1648.32</v>
      </c>
      <c r="J57" s="11" cm="1">
        <f t="array" ref="J57">_xlfn.LET(_xlpm.p,K57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7" s="4" t="s">
        <v>142</v>
      </c>
      <c r="L57" s="4">
        <v>11</v>
      </c>
      <c r="M57" s="21">
        <f t="shared" si="4"/>
        <v>18131.52</v>
      </c>
      <c r="N57" s="5">
        <f t="shared" si="3"/>
        <v>448.7999999999995</v>
      </c>
      <c r="O57" s="22">
        <f t="shared" si="5"/>
        <v>2.5380710659898451</v>
      </c>
      <c r="P57" s="4" t="s">
        <v>40</v>
      </c>
      <c r="Q57" s="46" t="s">
        <v>4</v>
      </c>
      <c r="R57" s="46" t="s">
        <v>53</v>
      </c>
      <c r="S57" s="46" t="s">
        <v>143</v>
      </c>
    </row>
    <row r="58" spans="1:19" hidden="1">
      <c r="A58" s="4">
        <f t="shared" si="6"/>
        <v>56</v>
      </c>
      <c r="D58" s="67"/>
      <c r="E58" s="67"/>
      <c r="F58" s="4" t="s">
        <v>144</v>
      </c>
      <c r="G58" s="11">
        <v>6288.24</v>
      </c>
      <c r="H58" s="11">
        <v>6447.84</v>
      </c>
      <c r="J58" s="11" cm="1">
        <f t="array" ref="J58">_xlfn.LET(_xlpm.p,K58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8" s="4" t="s">
        <v>142</v>
      </c>
      <c r="L58" s="4">
        <v>1</v>
      </c>
      <c r="M58" s="21">
        <f t="shared" si="4"/>
        <v>6447.84</v>
      </c>
      <c r="N58" s="5">
        <f t="shared" si="3"/>
        <v>159.60000000000036</v>
      </c>
      <c r="O58" s="22">
        <f t="shared" si="5"/>
        <v>2.5380710659898535</v>
      </c>
      <c r="P58" s="4" t="s">
        <v>40</v>
      </c>
      <c r="Q58" s="47"/>
      <c r="R58" s="47"/>
      <c r="S58" s="47"/>
    </row>
    <row r="59" spans="1:19" hidden="1">
      <c r="A59" s="4">
        <f t="shared" si="6"/>
        <v>57</v>
      </c>
      <c r="D59" s="68"/>
      <c r="E59" s="68"/>
      <c r="F59" s="4" t="s">
        <v>145</v>
      </c>
      <c r="G59" s="11">
        <v>2400</v>
      </c>
      <c r="H59" s="11">
        <v>2424</v>
      </c>
      <c r="J59" s="11" cm="1">
        <f t="array" ref="J59">_xlfn.LET(_xlpm.p,K59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365</v>
      </c>
      <c r="K59" s="4" t="s">
        <v>142</v>
      </c>
      <c r="L59" s="4">
        <v>1</v>
      </c>
      <c r="M59" s="21">
        <f t="shared" si="4"/>
        <v>2424</v>
      </c>
      <c r="N59" s="5">
        <f t="shared" si="3"/>
        <v>24</v>
      </c>
      <c r="O59" s="22">
        <f t="shared" si="5"/>
        <v>1</v>
      </c>
      <c r="P59" s="4" t="s">
        <v>40</v>
      </c>
      <c r="Q59" s="48"/>
      <c r="R59" s="48"/>
      <c r="S59" s="48"/>
    </row>
    <row r="60" spans="1:19" hidden="1">
      <c r="A60" s="4">
        <f t="shared" si="6"/>
        <v>58</v>
      </c>
      <c r="G60" s="11"/>
      <c r="H60" s="11"/>
      <c r="J60" s="11" t="str" cm="1">
        <f t="array" ref="J60">_xlfn.LET(_xlpm.p,K60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0" s="21" t="str">
        <f t="shared" si="4"/>
        <v>-</v>
      </c>
      <c r="N60" s="5" t="str">
        <f t="shared" si="3"/>
        <v/>
      </c>
      <c r="O60" s="22" t="str">
        <f t="shared" si="5"/>
        <v/>
      </c>
    </row>
    <row r="61" spans="1:19" hidden="1">
      <c r="A61" s="4">
        <f t="shared" si="6"/>
        <v>59</v>
      </c>
      <c r="G61" s="11"/>
      <c r="H61" s="11"/>
      <c r="J61" s="11" t="str" cm="1">
        <f t="array" ref="J61">_xlfn.LET(_xlpm.p,K61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1" s="21" t="str">
        <f t="shared" si="4"/>
        <v>-</v>
      </c>
      <c r="N61" s="5" t="str">
        <f t="shared" si="3"/>
        <v/>
      </c>
      <c r="O61" s="22" t="str">
        <f t="shared" si="5"/>
        <v/>
      </c>
    </row>
    <row r="62" spans="1:19" hidden="1">
      <c r="A62" s="4">
        <f t="shared" si="6"/>
        <v>60</v>
      </c>
      <c r="G62" s="11"/>
      <c r="H62" s="11"/>
      <c r="J62" s="11" t="str" cm="1">
        <f t="array" ref="J62">_xlfn.LET(_xlpm.p,K62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2" s="21" t="str">
        <f t="shared" si="4"/>
        <v>-</v>
      </c>
      <c r="N62" s="5" t="str">
        <f t="shared" si="3"/>
        <v/>
      </c>
      <c r="O62" s="22" t="str">
        <f t="shared" si="5"/>
        <v/>
      </c>
    </row>
    <row r="63" spans="1:19" hidden="1">
      <c r="A63" s="4">
        <f t="shared" si="6"/>
        <v>61</v>
      </c>
      <c r="G63" s="11"/>
      <c r="H63" s="11"/>
      <c r="J63" s="11" t="str" cm="1">
        <f t="array" ref="J63">_xlfn.LET(_xlpm.p,K63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3" s="21" t="str">
        <f t="shared" si="4"/>
        <v>-</v>
      </c>
      <c r="N63" s="5" t="str">
        <f t="shared" si="3"/>
        <v/>
      </c>
      <c r="O63" s="22" t="str">
        <f t="shared" si="5"/>
        <v/>
      </c>
    </row>
    <row r="64" spans="1:19" hidden="1">
      <c r="A64" s="4">
        <f t="shared" si="6"/>
        <v>62</v>
      </c>
      <c r="G64" s="11"/>
      <c r="H64" s="11"/>
      <c r="J64" s="11" t="str" cm="1">
        <f t="array" ref="J64">_xlfn.LET(_xlpm.p,K64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4" s="21" t="str">
        <f t="shared" si="4"/>
        <v>-</v>
      </c>
      <c r="N64" s="5" t="str">
        <f t="shared" si="3"/>
        <v/>
      </c>
      <c r="O64" s="22" t="str">
        <f t="shared" si="5"/>
        <v/>
      </c>
    </row>
    <row r="65" spans="1:15" hidden="1">
      <c r="A65" s="4">
        <f t="shared" si="6"/>
        <v>63</v>
      </c>
      <c r="G65" s="11"/>
      <c r="H65" s="11"/>
      <c r="J65" s="11" t="str" cm="1">
        <f t="array" ref="J65">_xlfn.LET(_xlpm.p,K65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5" s="21" t="str">
        <f t="shared" si="4"/>
        <v>-</v>
      </c>
      <c r="N65" s="5" t="str">
        <f t="shared" si="3"/>
        <v/>
      </c>
      <c r="O65" s="22" t="str">
        <f t="shared" si="5"/>
        <v/>
      </c>
    </row>
    <row r="66" spans="1:15" hidden="1">
      <c r="A66" s="4">
        <f t="shared" si="6"/>
        <v>64</v>
      </c>
      <c r="G66" s="11"/>
      <c r="H66" s="11"/>
      <c r="J66" s="11" t="str" cm="1">
        <f t="array" ref="J66">_xlfn.LET(_xlpm.p,K66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6" s="21" t="str">
        <f t="shared" si="4"/>
        <v>-</v>
      </c>
      <c r="N66" s="5" t="str">
        <f t="shared" si="3"/>
        <v/>
      </c>
      <c r="O66" s="22" t="str">
        <f t="shared" si="5"/>
        <v/>
      </c>
    </row>
    <row r="67" spans="1:15" hidden="1">
      <c r="A67" s="4">
        <f t="shared" si="6"/>
        <v>65</v>
      </c>
      <c r="G67" s="11"/>
      <c r="H67" s="11"/>
      <c r="J67" s="11" t="str" cm="1">
        <f t="array" ref="J67">_xlfn.LET(_xlpm.p,K67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7" s="21" t="str">
        <f t="shared" si="4"/>
        <v>-</v>
      </c>
      <c r="N67" s="5" t="str">
        <f t="shared" si="3"/>
        <v/>
      </c>
      <c r="O67" s="22" t="str">
        <f t="shared" si="5"/>
        <v/>
      </c>
    </row>
    <row r="68" spans="1:15" hidden="1">
      <c r="A68" s="4">
        <f t="shared" si="6"/>
        <v>66</v>
      </c>
      <c r="G68" s="11"/>
      <c r="H68" s="11"/>
      <c r="J68" s="11" t="str" cm="1">
        <f t="array" ref="J68">_xlfn.LET(_xlpm.p,K68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8" s="21" t="str">
        <f t="shared" si="4"/>
        <v>-</v>
      </c>
      <c r="N68" s="5" t="str">
        <f t="shared" si="3"/>
        <v/>
      </c>
      <c r="O68" s="22" t="str">
        <f t="shared" si="5"/>
        <v/>
      </c>
    </row>
    <row r="69" spans="1:15" hidden="1">
      <c r="A69" s="4">
        <f t="shared" si="6"/>
        <v>67</v>
      </c>
      <c r="G69" s="11"/>
      <c r="H69" s="11"/>
      <c r="J69" s="11" t="str" cm="1">
        <f t="array" ref="J69">_xlfn.LET(_xlpm.p,K69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69" s="21" t="str">
        <f t="shared" si="4"/>
        <v>-</v>
      </c>
      <c r="N69" s="5" t="str">
        <f t="shared" si="3"/>
        <v/>
      </c>
      <c r="O69" s="22" t="str">
        <f t="shared" si="5"/>
        <v/>
      </c>
    </row>
    <row r="70" spans="1:15" hidden="1">
      <c r="A70" s="4">
        <f t="shared" si="6"/>
        <v>68</v>
      </c>
      <c r="G70" s="11"/>
      <c r="H70" s="11"/>
      <c r="J70" s="11" t="str" cm="1">
        <f t="array" ref="J70">_xlfn.LET(_xlpm.p,K70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0" s="21" t="str">
        <f t="shared" si="4"/>
        <v>-</v>
      </c>
      <c r="N70" s="5" t="str">
        <f t="shared" si="3"/>
        <v/>
      </c>
      <c r="O70" s="22" t="str">
        <f t="shared" si="5"/>
        <v/>
      </c>
    </row>
    <row r="71" spans="1:15" hidden="1">
      <c r="A71" s="4">
        <f t="shared" si="6"/>
        <v>69</v>
      </c>
      <c r="G71" s="11"/>
      <c r="H71" s="11"/>
      <c r="J71" s="11" t="str" cm="1">
        <f t="array" ref="J71">_xlfn.LET(_xlpm.p,K71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1" s="21" t="str">
        <f t="shared" si="4"/>
        <v>-</v>
      </c>
      <c r="N71" s="5" t="str">
        <f t="shared" si="3"/>
        <v/>
      </c>
      <c r="O71" s="22" t="str">
        <f t="shared" si="5"/>
        <v/>
      </c>
    </row>
    <row r="72" spans="1:15" hidden="1">
      <c r="A72" s="4">
        <f t="shared" si="6"/>
        <v>70</v>
      </c>
      <c r="G72" s="11"/>
      <c r="H72" s="11"/>
      <c r="J72" s="11" t="str" cm="1">
        <f t="array" ref="J72">_xlfn.LET(_xlpm.p,K72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2" s="21" t="str">
        <f t="shared" si="4"/>
        <v>-</v>
      </c>
      <c r="N72" s="5" t="str">
        <f t="shared" si="3"/>
        <v/>
      </c>
      <c r="O72" s="22" t="str">
        <f t="shared" si="5"/>
        <v/>
      </c>
    </row>
    <row r="73" spans="1:15" hidden="1">
      <c r="A73" s="4">
        <f t="shared" si="6"/>
        <v>71</v>
      </c>
      <c r="G73" s="11"/>
      <c r="H73" s="11"/>
      <c r="J73" s="11" t="str" cm="1">
        <f t="array" ref="J73">_xlfn.LET(_xlpm.p,K73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3" s="21" t="str">
        <f t="shared" si="4"/>
        <v>-</v>
      </c>
      <c r="N73" s="5" t="str">
        <f t="shared" si="3"/>
        <v/>
      </c>
      <c r="O73" s="22" t="str">
        <f t="shared" si="5"/>
        <v/>
      </c>
    </row>
    <row r="74" spans="1:15" hidden="1">
      <c r="A74" s="4">
        <f t="shared" si="6"/>
        <v>72</v>
      </c>
      <c r="G74" s="11"/>
      <c r="H74" s="11"/>
      <c r="J74" s="11" t="str" cm="1">
        <f t="array" ref="J74">_xlfn.LET(_xlpm.p,K74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4" s="21" t="str">
        <f t="shared" si="4"/>
        <v>-</v>
      </c>
      <c r="N74" s="5" t="str">
        <f t="shared" si="3"/>
        <v/>
      </c>
      <c r="O74" s="22" t="str">
        <f t="shared" si="5"/>
        <v/>
      </c>
    </row>
    <row r="75" spans="1:15" hidden="1">
      <c r="A75" s="4">
        <f t="shared" si="6"/>
        <v>73</v>
      </c>
      <c r="G75" s="11"/>
      <c r="H75" s="11"/>
      <c r="J75" s="11" t="str" cm="1">
        <f t="array" ref="J75">_xlfn.LET(_xlpm.p,K75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5" s="21" t="str">
        <f t="shared" si="4"/>
        <v>-</v>
      </c>
      <c r="N75" s="5" t="str">
        <f t="shared" si="3"/>
        <v/>
      </c>
      <c r="O75" s="22" t="str">
        <f t="shared" si="5"/>
        <v/>
      </c>
    </row>
    <row r="76" spans="1:15" hidden="1">
      <c r="A76" s="4">
        <f t="shared" si="6"/>
        <v>74</v>
      </c>
      <c r="G76" s="11"/>
      <c r="H76" s="11"/>
      <c r="J76" s="11" t="str" cm="1">
        <f t="array" ref="J76">_xlfn.LET(_xlpm.p,K76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6" s="21" t="str">
        <f t="shared" si="4"/>
        <v>-</v>
      </c>
      <c r="N76" s="5" t="str">
        <f t="shared" si="3"/>
        <v/>
      </c>
      <c r="O76" s="22" t="str">
        <f t="shared" si="5"/>
        <v/>
      </c>
    </row>
    <row r="77" spans="1:15" hidden="1">
      <c r="A77" s="4">
        <f t="shared" si="6"/>
        <v>75</v>
      </c>
      <c r="G77" s="11"/>
      <c r="H77" s="11"/>
      <c r="J77" s="11" t="str" cm="1">
        <f t="array" ref="J77">_xlfn.LET(_xlpm.p,K77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7" s="21" t="str">
        <f t="shared" si="4"/>
        <v>-</v>
      </c>
      <c r="N77" s="5" t="str">
        <f t="shared" si="3"/>
        <v/>
      </c>
      <c r="O77" s="22" t="str">
        <f t="shared" si="5"/>
        <v/>
      </c>
    </row>
    <row r="78" spans="1:15" hidden="1">
      <c r="A78" s="4">
        <f t="shared" si="6"/>
        <v>76</v>
      </c>
      <c r="G78" s="11"/>
      <c r="H78" s="11"/>
      <c r="J78" s="11" t="str" cm="1">
        <f t="array" ref="J78">_xlfn.LET(_xlpm.p,K78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8" s="21" t="str">
        <f t="shared" si="4"/>
        <v>-</v>
      </c>
      <c r="N78" s="5" t="str">
        <f t="shared" si="3"/>
        <v/>
      </c>
      <c r="O78" s="22" t="str">
        <f t="shared" si="5"/>
        <v/>
      </c>
    </row>
    <row r="79" spans="1:15" hidden="1">
      <c r="A79" s="4">
        <f t="shared" si="6"/>
        <v>77</v>
      </c>
      <c r="G79" s="11"/>
      <c r="H79" s="11"/>
      <c r="J79" s="11" t="str" cm="1">
        <f t="array" ref="J79">_xlfn.LET(_xlpm.p,K79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79" s="21" t="str">
        <f t="shared" si="4"/>
        <v>-</v>
      </c>
      <c r="N79" s="5" t="str">
        <f t="shared" si="3"/>
        <v/>
      </c>
      <c r="O79" s="22" t="str">
        <f t="shared" si="5"/>
        <v/>
      </c>
    </row>
    <row r="80" spans="1:15" hidden="1">
      <c r="A80" s="4">
        <f t="shared" si="6"/>
        <v>78</v>
      </c>
      <c r="G80" s="11"/>
      <c r="H80" s="11"/>
      <c r="J80" s="11" t="str" cm="1">
        <f t="array" ref="J80">_xlfn.LET(_xlpm.p,K80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0" s="21" t="str">
        <f t="shared" si="4"/>
        <v>-</v>
      </c>
      <c r="N80" s="5" t="str">
        <f t="shared" si="3"/>
        <v/>
      </c>
      <c r="O80" s="22" t="str">
        <f t="shared" si="5"/>
        <v/>
      </c>
    </row>
    <row r="81" spans="1:15" hidden="1">
      <c r="A81" s="4">
        <f t="shared" si="6"/>
        <v>79</v>
      </c>
      <c r="G81" s="11"/>
      <c r="H81" s="11"/>
      <c r="J81" s="11" t="str" cm="1">
        <f t="array" ref="J81">_xlfn.LET(_xlpm.p,K81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1" s="21" t="str">
        <f t="shared" si="4"/>
        <v>-</v>
      </c>
      <c r="N81" s="5" t="str">
        <f t="shared" si="3"/>
        <v/>
      </c>
      <c r="O81" s="22" t="str">
        <f t="shared" si="5"/>
        <v/>
      </c>
    </row>
    <row r="82" spans="1:15" hidden="1">
      <c r="A82" s="4">
        <f t="shared" si="6"/>
        <v>80</v>
      </c>
      <c r="G82" s="11"/>
      <c r="H82" s="11"/>
      <c r="J82" s="11" t="str" cm="1">
        <f t="array" ref="J82">_xlfn.LET(_xlpm.p,K82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2" s="21" t="str">
        <f t="shared" si="4"/>
        <v>-</v>
      </c>
      <c r="N82" s="5" t="str">
        <f t="shared" si="3"/>
        <v/>
      </c>
      <c r="O82" s="22" t="str">
        <f t="shared" si="5"/>
        <v/>
      </c>
    </row>
    <row r="83" spans="1:15" hidden="1">
      <c r="A83" s="4">
        <f t="shared" si="6"/>
        <v>81</v>
      </c>
      <c r="G83" s="11"/>
      <c r="H83" s="11"/>
      <c r="J83" s="11" t="str" cm="1">
        <f t="array" ref="J83">_xlfn.LET(_xlpm.p,K83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3" s="21" t="str">
        <f t="shared" si="4"/>
        <v>-</v>
      </c>
      <c r="N83" s="5" t="str">
        <f t="shared" si="3"/>
        <v/>
      </c>
      <c r="O83" s="22" t="str">
        <f t="shared" si="5"/>
        <v/>
      </c>
    </row>
    <row r="84" spans="1:15" hidden="1">
      <c r="A84" s="4">
        <f t="shared" si="6"/>
        <v>82</v>
      </c>
      <c r="G84" s="11"/>
      <c r="H84" s="11"/>
      <c r="J84" s="11" t="str" cm="1">
        <f t="array" ref="J84">_xlfn.LET(_xlpm.p,K84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4" s="21" t="str">
        <f t="shared" si="4"/>
        <v>-</v>
      </c>
      <c r="N84" s="5" t="str">
        <f t="shared" si="3"/>
        <v/>
      </c>
      <c r="O84" s="22" t="str">
        <f t="shared" si="5"/>
        <v/>
      </c>
    </row>
    <row r="85" spans="1:15" hidden="1">
      <c r="A85" s="4">
        <f t="shared" si="6"/>
        <v>83</v>
      </c>
      <c r="G85" s="11"/>
      <c r="H85" s="11"/>
      <c r="J85" s="11" t="str" cm="1">
        <f t="array" ref="J85">_xlfn.LET(_xlpm.p,K85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5" s="21" t="str">
        <f t="shared" si="4"/>
        <v>-</v>
      </c>
      <c r="N85" s="5" t="str">
        <f t="shared" si="3"/>
        <v/>
      </c>
      <c r="O85" s="22" t="str">
        <f t="shared" si="5"/>
        <v/>
      </c>
    </row>
    <row r="86" spans="1:15" hidden="1">
      <c r="A86" s="4">
        <f t="shared" si="6"/>
        <v>84</v>
      </c>
      <c r="G86" s="11"/>
      <c r="H86" s="11"/>
      <c r="J86" s="11" t="str" cm="1">
        <f t="array" ref="J86">_xlfn.LET(_xlpm.p,K86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6" s="21" t="str">
        <f t="shared" si="4"/>
        <v>-</v>
      </c>
      <c r="N86" s="5" t="str">
        <f t="shared" si="3"/>
        <v/>
      </c>
      <c r="O86" s="22" t="str">
        <f t="shared" si="5"/>
        <v/>
      </c>
    </row>
    <row r="87" spans="1:15" hidden="1">
      <c r="A87" s="4">
        <f t="shared" si="6"/>
        <v>85</v>
      </c>
      <c r="G87" s="11"/>
      <c r="H87" s="11"/>
      <c r="J87" s="11" t="str" cm="1">
        <f t="array" ref="J87">_xlfn.LET(_xlpm.p,K87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7" s="21" t="str">
        <f t="shared" si="4"/>
        <v>-</v>
      </c>
      <c r="N87" s="5" t="str">
        <f t="shared" si="3"/>
        <v/>
      </c>
      <c r="O87" s="22" t="str">
        <f t="shared" si="5"/>
        <v/>
      </c>
    </row>
    <row r="88" spans="1:15" hidden="1">
      <c r="A88" s="4">
        <f t="shared" si="6"/>
        <v>86</v>
      </c>
      <c r="G88" s="11"/>
      <c r="H88" s="11"/>
      <c r="J88" s="11" t="str" cm="1">
        <f t="array" ref="J88">_xlfn.LET(_xlpm.p,K88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8" s="21" t="str">
        <f t="shared" si="4"/>
        <v>-</v>
      </c>
      <c r="N88" s="5" t="str">
        <f t="shared" si="3"/>
        <v/>
      </c>
      <c r="O88" s="22" t="str">
        <f t="shared" si="5"/>
        <v/>
      </c>
    </row>
    <row r="89" spans="1:15" hidden="1">
      <c r="A89" s="4">
        <f t="shared" si="6"/>
        <v>87</v>
      </c>
      <c r="G89" s="11"/>
      <c r="H89" s="11"/>
      <c r="J89" s="11" t="str" cm="1">
        <f t="array" ref="J89">_xlfn.LET(_xlpm.p,K89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89" s="21" t="str">
        <f t="shared" si="4"/>
        <v>-</v>
      </c>
      <c r="N89" s="5" t="str">
        <f t="shared" si="3"/>
        <v/>
      </c>
      <c r="O89" s="22" t="str">
        <f t="shared" si="5"/>
        <v/>
      </c>
    </row>
    <row r="90" spans="1:15" hidden="1">
      <c r="A90" s="4">
        <f t="shared" si="6"/>
        <v>88</v>
      </c>
      <c r="G90" s="11"/>
      <c r="H90" s="11"/>
      <c r="J90" s="11" t="str" cm="1">
        <f t="array" ref="J90">_xlfn.LET(_xlpm.p,K90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0" s="21" t="str">
        <f t="shared" si="4"/>
        <v>-</v>
      </c>
      <c r="N90" s="5" t="str">
        <f t="shared" si="3"/>
        <v/>
      </c>
      <c r="O90" s="22" t="str">
        <f t="shared" si="5"/>
        <v/>
      </c>
    </row>
    <row r="91" spans="1:15" hidden="1">
      <c r="A91" s="4">
        <f t="shared" si="6"/>
        <v>89</v>
      </c>
      <c r="G91" s="11"/>
      <c r="H91" s="11"/>
      <c r="J91" s="11" t="str" cm="1">
        <f t="array" ref="J91">_xlfn.LET(_xlpm.p,K91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1" s="21" t="str">
        <f t="shared" si="4"/>
        <v>-</v>
      </c>
      <c r="N91" s="5" t="str">
        <f t="shared" si="3"/>
        <v/>
      </c>
      <c r="O91" s="22" t="str">
        <f t="shared" si="5"/>
        <v/>
      </c>
    </row>
    <row r="92" spans="1:15" hidden="1">
      <c r="A92" s="4">
        <f t="shared" si="6"/>
        <v>90</v>
      </c>
      <c r="G92" s="11"/>
      <c r="H92" s="11"/>
      <c r="J92" s="11" t="str" cm="1">
        <f t="array" ref="J92">_xlfn.LET(_xlpm.p,K92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2" s="21" t="str">
        <f t="shared" si="4"/>
        <v>-</v>
      </c>
      <c r="N92" s="5" t="str">
        <f t="shared" si="3"/>
        <v/>
      </c>
      <c r="O92" s="22" t="str">
        <f t="shared" si="5"/>
        <v/>
      </c>
    </row>
    <row r="93" spans="1:15" hidden="1">
      <c r="A93" s="4">
        <f t="shared" si="6"/>
        <v>91</v>
      </c>
      <c r="G93" s="11"/>
      <c r="H93" s="11"/>
      <c r="J93" s="11" t="str" cm="1">
        <f t="array" ref="J93">_xlfn.LET(_xlpm.p,K93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3" s="21" t="str">
        <f t="shared" si="4"/>
        <v>-</v>
      </c>
      <c r="N93" s="5" t="str">
        <f t="shared" si="3"/>
        <v/>
      </c>
      <c r="O93" s="22" t="str">
        <f t="shared" si="5"/>
        <v/>
      </c>
    </row>
    <row r="94" spans="1:15" hidden="1">
      <c r="A94" s="4">
        <f t="shared" si="6"/>
        <v>92</v>
      </c>
      <c r="G94" s="11"/>
      <c r="H94" s="11"/>
      <c r="J94" s="11" t="str" cm="1">
        <f t="array" ref="J94">_xlfn.LET(_xlpm.p,K94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4" s="21" t="str">
        <f t="shared" si="4"/>
        <v>-</v>
      </c>
      <c r="N94" s="5" t="str">
        <f t="shared" si="3"/>
        <v/>
      </c>
      <c r="O94" s="22" t="str">
        <f t="shared" si="5"/>
        <v/>
      </c>
    </row>
    <row r="95" spans="1:15" hidden="1">
      <c r="A95" s="4">
        <f t="shared" si="6"/>
        <v>93</v>
      </c>
      <c r="G95" s="11"/>
      <c r="H95" s="11"/>
      <c r="J95" s="11" t="str" cm="1">
        <f t="array" ref="J95">_xlfn.LET(_xlpm.p,K95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5" s="21" t="str">
        <f t="shared" si="4"/>
        <v>-</v>
      </c>
      <c r="N95" s="5" t="str">
        <f t="shared" si="3"/>
        <v/>
      </c>
      <c r="O95" s="22" t="str">
        <f t="shared" si="5"/>
        <v/>
      </c>
    </row>
    <row r="96" spans="1:15" hidden="1">
      <c r="A96" s="4">
        <f t="shared" si="6"/>
        <v>94</v>
      </c>
      <c r="G96" s="11"/>
      <c r="H96" s="11"/>
      <c r="J96" s="11" t="str" cm="1">
        <f t="array" ref="J96">_xlfn.LET(_xlpm.p,K96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6" s="21" t="str">
        <f t="shared" si="4"/>
        <v>-</v>
      </c>
      <c r="N96" s="5" t="str">
        <f t="shared" ref="N96:N103" si="7">IF(OR(G96="",H96="",L96=""),"",(H96-G96)*L96)</f>
        <v/>
      </c>
      <c r="O96" s="22" t="str">
        <f t="shared" si="5"/>
        <v/>
      </c>
    </row>
    <row r="97" spans="1:18" hidden="1">
      <c r="A97" s="4">
        <f t="shared" si="6"/>
        <v>95</v>
      </c>
      <c r="G97" s="11"/>
      <c r="H97" s="11"/>
      <c r="J97" s="11" t="str" cm="1">
        <f t="array" ref="J97">_xlfn.LET(_xlpm.p,K97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7" s="21" t="str">
        <f t="shared" si="4"/>
        <v>-</v>
      </c>
      <c r="N97" s="5" t="str">
        <f t="shared" si="7"/>
        <v/>
      </c>
      <c r="O97" s="22" t="str">
        <f t="shared" si="5"/>
        <v/>
      </c>
    </row>
    <row r="98" spans="1:18" hidden="1">
      <c r="A98" s="4">
        <f t="shared" si="6"/>
        <v>96</v>
      </c>
      <c r="G98" s="11"/>
      <c r="H98" s="11"/>
      <c r="J98" s="11" t="str" cm="1">
        <f t="array" ref="J98">_xlfn.LET(_xlpm.p,K98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8" s="21" t="str">
        <f t="shared" si="4"/>
        <v>-</v>
      </c>
      <c r="N98" s="5" t="str">
        <f t="shared" si="7"/>
        <v/>
      </c>
      <c r="O98" s="22" t="str">
        <f t="shared" si="5"/>
        <v/>
      </c>
    </row>
    <row r="99" spans="1:18" hidden="1">
      <c r="A99" s="4">
        <f t="shared" si="6"/>
        <v>97</v>
      </c>
      <c r="G99" s="11"/>
      <c r="H99" s="11"/>
      <c r="J99" s="11" t="str" cm="1">
        <f t="array" ref="J99">_xlfn.LET(_xlpm.p,K99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99" s="21" t="str">
        <f t="shared" si="4"/>
        <v>-</v>
      </c>
      <c r="N99" s="5" t="str">
        <f t="shared" si="7"/>
        <v/>
      </c>
      <c r="O99" s="22" t="str">
        <f t="shared" si="5"/>
        <v/>
      </c>
    </row>
    <row r="100" spans="1:18" hidden="1">
      <c r="A100" s="4">
        <f t="shared" si="6"/>
        <v>98</v>
      </c>
      <c r="G100" s="11"/>
      <c r="H100" s="11"/>
      <c r="J100" s="11" t="str" cm="1">
        <f t="array" ref="J100">_xlfn.LET(_xlpm.p,K100,IF(OR(_xlpm.p="",_xlpm.p="-",ISERROR(SEARCH("to",_xlpm.p))),"-",IFERROR(_xlfn.LET(_xlpm.s,TRIM(_xlfn.TEXTBEFORE(_xlpm.p,"to")),_xlpm.e,TRIM(_xlfn.TEXTAFTER(_xlpm.p,"to")),_xlpm.sd,DATE(VALUE(_xlfn.TEXTAFTER(_xlpm.s,"/",-1)),VALUE(_xlfn.TEXTBEFORE(_xlfn.TEXTAFTER(_xlpm.s,"/"),"/")),VALUE(_xlfn.TEXTBEFORE(_xlpm.s,"/"))),_xlpm.ed,DATE(VALUE(_xlfn.TEXTAFTER(_xlpm.e,"/",-1)),VALUE(_xlfn.TEXTBEFORE(_xlfn.TEXTAFTER(_xlpm.e,"/"),"/")),VALUE(_xlfn.TEXTBEFORE(_xlpm.e,"/"))),_xlpm.ed-_xlpm.sd+1),"-")))</f>
        <v>-</v>
      </c>
      <c r="M100" s="21" t="str">
        <f t="shared" si="4"/>
        <v>-</v>
      </c>
      <c r="N100" s="5" t="str">
        <f t="shared" si="7"/>
        <v/>
      </c>
      <c r="O100" s="22" t="str">
        <f t="shared" si="5"/>
        <v/>
      </c>
    </row>
    <row r="101" spans="1:18" ht="15" customHeight="1">
      <c r="A101" s="46">
        <v>53</v>
      </c>
      <c r="B101" s="59">
        <v>46266</v>
      </c>
      <c r="C101" s="46" t="s">
        <v>75</v>
      </c>
      <c r="D101" s="66"/>
      <c r="E101" s="46" t="s">
        <v>63</v>
      </c>
      <c r="F101" s="4" t="s">
        <v>146</v>
      </c>
      <c r="G101" s="45">
        <v>2871</v>
      </c>
      <c r="H101" s="45">
        <v>2960</v>
      </c>
      <c r="J101" s="4" t="s">
        <v>46</v>
      </c>
      <c r="K101" s="46" t="s">
        <v>78</v>
      </c>
      <c r="L101" s="4">
        <v>12</v>
      </c>
      <c r="M101" s="21">
        <f t="shared" ref="M101:M103" si="8">IF(OR(L101="",L101="-"),"-",IF(AND(ISNUMBER(I101),I101&lt;&gt;0),I101*L101,IF(ISNUMBER(H101),H101*L101,"-")))</f>
        <v>35520</v>
      </c>
      <c r="N101" s="5">
        <f t="shared" si="7"/>
        <v>1068</v>
      </c>
      <c r="O101" s="22">
        <f t="shared" ref="O101:O103" si="9">IF(OR(G101="",G101=0,H101=""),"",((H101-G101)/G101)*100)</f>
        <v>3.099965168930686</v>
      </c>
      <c r="P101" s="46" t="s">
        <v>79</v>
      </c>
      <c r="Q101" s="46" t="s">
        <v>94</v>
      </c>
      <c r="R101" s="46" t="s">
        <v>53</v>
      </c>
    </row>
    <row r="102" spans="1:18" ht="15" hidden="1" customHeight="1">
      <c r="A102" s="47"/>
      <c r="B102" s="60"/>
      <c r="C102" s="47"/>
      <c r="D102" s="67"/>
      <c r="E102" s="47"/>
      <c r="F102" s="4" t="s">
        <v>81</v>
      </c>
      <c r="G102" s="45">
        <v>16671</v>
      </c>
      <c r="H102" s="5">
        <v>17189</v>
      </c>
      <c r="J102" s="4" t="s">
        <v>46</v>
      </c>
      <c r="K102" s="47"/>
      <c r="L102" s="4">
        <v>5</v>
      </c>
      <c r="M102" s="21">
        <f t="shared" si="8"/>
        <v>85945</v>
      </c>
      <c r="N102" s="5">
        <f t="shared" si="7"/>
        <v>2590</v>
      </c>
      <c r="O102" s="22">
        <f t="shared" si="9"/>
        <v>3.107192130046188</v>
      </c>
      <c r="P102" s="47"/>
      <c r="Q102" s="47"/>
      <c r="R102" s="47"/>
    </row>
    <row r="103" spans="1:18" ht="15" hidden="1" customHeight="1">
      <c r="A103" s="48"/>
      <c r="B103" s="61"/>
      <c r="C103" s="48"/>
      <c r="D103" s="68"/>
      <c r="E103" s="48"/>
      <c r="F103" s="4" t="s">
        <v>116</v>
      </c>
      <c r="G103" s="45">
        <v>71631</v>
      </c>
      <c r="H103" s="5">
        <v>73855</v>
      </c>
      <c r="J103" s="4" t="s">
        <v>46</v>
      </c>
      <c r="K103" s="48"/>
      <c r="L103" s="4">
        <v>1</v>
      </c>
      <c r="M103" s="21">
        <f t="shared" si="8"/>
        <v>73855</v>
      </c>
      <c r="N103" s="5">
        <f t="shared" si="7"/>
        <v>2224</v>
      </c>
      <c r="O103" s="22">
        <f t="shared" si="9"/>
        <v>3.1048009939830519</v>
      </c>
      <c r="P103" s="48"/>
      <c r="Q103" s="48"/>
      <c r="R103" s="48"/>
    </row>
  </sheetData>
  <autoFilter ref="A1:S103" xr:uid="{00000000-0001-0000-0000-000000000000}">
    <filterColumn colId="16">
      <filters>
        <filter val="Need to send invoice"/>
      </filters>
    </filterColumn>
  </autoFilter>
  <mergeCells count="43">
    <mergeCell ref="R101:R103"/>
    <mergeCell ref="B101:B103"/>
    <mergeCell ref="A101:A103"/>
    <mergeCell ref="E101:E103"/>
    <mergeCell ref="D101:D103"/>
    <mergeCell ref="C101:C103"/>
    <mergeCell ref="Q101:Q103"/>
    <mergeCell ref="P101:P103"/>
    <mergeCell ref="K101:K103"/>
    <mergeCell ref="E57:E59"/>
    <mergeCell ref="D57:D59"/>
    <mergeCell ref="S57:S59"/>
    <mergeCell ref="R57:R59"/>
    <mergeCell ref="Q57:Q59"/>
    <mergeCell ref="B43:B44"/>
    <mergeCell ref="R35:R36"/>
    <mergeCell ref="R37:R38"/>
    <mergeCell ref="A43:A44"/>
    <mergeCell ref="A41:A42"/>
    <mergeCell ref="E43:E44"/>
    <mergeCell ref="D41:D42"/>
    <mergeCell ref="R41:R42"/>
    <mergeCell ref="C37:C38"/>
    <mergeCell ref="C35:C36"/>
    <mergeCell ref="B29:B31"/>
    <mergeCell ref="A29:A31"/>
    <mergeCell ref="B24:B26"/>
    <mergeCell ref="A24:A26"/>
    <mergeCell ref="C24:C26"/>
    <mergeCell ref="C29:C31"/>
    <mergeCell ref="N2:O2"/>
    <mergeCell ref="Q41:Q42"/>
    <mergeCell ref="Q29:Q31"/>
    <mergeCell ref="D24:D26"/>
    <mergeCell ref="D37:D38"/>
    <mergeCell ref="D35:D36"/>
    <mergeCell ref="Q35:Q36"/>
    <mergeCell ref="Q37:Q38"/>
    <mergeCell ref="R29:R31"/>
    <mergeCell ref="Q43:Q44"/>
    <mergeCell ref="R43:R44"/>
    <mergeCell ref="D43:D44"/>
    <mergeCell ref="D29:D31"/>
  </mergeCells>
  <dataValidations count="1">
    <dataValidation type="custom" errorStyle="warning" allowBlank="1" showInputMessage="1" showErrorMessage="1" errorTitle="Use date range format" error="Use: dd/mm/yyyy to dd/mm/yyyy, or leave blank / use -." promptTitle="Prorate Period format" prompt="Enter dates like 03/06/2026 to 27/06/2026. Column K will calculate days automatically." sqref="K3:K6 K8:K100" xr:uid="{48323C1E-80E1-4369-B972-32792E4B891A}">
      <formula1>OR(K3="",K3="-",ISNUMBER(SEARCH(" to ",K3)))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71280D3-0C0F-49F1-8013-7F574D1D99A0}">
          <x14:formula1>
            <xm:f>Vendors!$F:$F</xm:f>
          </x14:formula1>
          <xm:sqref>D21 C1:C6 C8:C24 C43 C32:C35 C37 C27:C29 C39:C41 C45:C101 C104:C1048576</xm:sqref>
        </x14:dataValidation>
        <x14:dataValidation type="list" allowBlank="1" showInputMessage="1" showErrorMessage="1" xr:uid="{DB43579B-44DA-4128-9553-D69360562B6F}">
          <x14:formula1>
            <xm:f>Vendors!$A$3:$A$5</xm:f>
          </x14:formula1>
          <xm:sqref>P1:P6 P8:P32 P43:P100</xm:sqref>
        </x14:dataValidation>
        <x14:dataValidation type="list" allowBlank="1" showInputMessage="1" showErrorMessage="1" xr:uid="{D6B8AABC-4DF9-402E-BC00-76C189F00817}">
          <x14:formula1>
            <xm:f>Vendors!$A$8:$A$11</xm:f>
          </x14:formula1>
          <xm:sqref>R1:R6 R39:R41 R37 R43 R32:R35 R8:R29 R45:R57 R60:R101 R104:R1048576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9013-EEA0-4311-B976-6E4EDB03FE0F}">
  <dimension ref="A1:F27"/>
  <sheetViews>
    <sheetView topLeftCell="A6" workbookViewId="0">
      <selection activeCell="F24" sqref="F24"/>
    </sheetView>
  </sheetViews>
  <sheetFormatPr defaultRowHeight="14.45"/>
  <cols>
    <col min="1" max="1" width="27.5703125" bestFit="1" customWidth="1"/>
    <col min="2" max="2" width="8" customWidth="1"/>
    <col min="5" max="5" width="13" bestFit="1" customWidth="1"/>
    <col min="6" max="6" width="29.85546875" bestFit="1" customWidth="1"/>
  </cols>
  <sheetData>
    <row r="1" spans="1:6" ht="15">
      <c r="A1" s="1" t="s">
        <v>147</v>
      </c>
      <c r="E1" s="8" t="s">
        <v>148</v>
      </c>
    </row>
    <row r="2" spans="1:6">
      <c r="A2" s="2"/>
      <c r="F2" s="4" t="s">
        <v>36</v>
      </c>
    </row>
    <row r="3" spans="1:6">
      <c r="A3" s="2" t="s">
        <v>40</v>
      </c>
      <c r="F3" s="4" t="s">
        <v>43</v>
      </c>
    </row>
    <row r="4" spans="1:6">
      <c r="A4" s="2" t="s">
        <v>51</v>
      </c>
      <c r="F4" s="4" t="s">
        <v>55</v>
      </c>
    </row>
    <row r="5" spans="1:6">
      <c r="A5" s="2" t="s">
        <v>79</v>
      </c>
      <c r="F5" s="4" t="s">
        <v>58</v>
      </c>
    </row>
    <row r="6" spans="1:6">
      <c r="F6" s="7" t="s">
        <v>61</v>
      </c>
    </row>
    <row r="7" spans="1:6">
      <c r="F7" s="2" t="s">
        <v>70</v>
      </c>
    </row>
    <row r="8" spans="1:6">
      <c r="A8" s="6" t="s">
        <v>41</v>
      </c>
      <c r="F8" s="2" t="s">
        <v>68</v>
      </c>
    </row>
    <row r="9" spans="1:6">
      <c r="A9" s="6" t="s">
        <v>53</v>
      </c>
      <c r="F9" s="9" t="s">
        <v>71</v>
      </c>
    </row>
    <row r="10" spans="1:6">
      <c r="A10" s="6" t="s">
        <v>149</v>
      </c>
      <c r="F10" s="2" t="s">
        <v>103</v>
      </c>
    </row>
    <row r="11" spans="1:6">
      <c r="A11" s="6" t="s">
        <v>47</v>
      </c>
      <c r="F11" s="10" t="s">
        <v>73</v>
      </c>
    </row>
    <row r="12" spans="1:6">
      <c r="F12" s="9" t="s">
        <v>82</v>
      </c>
    </row>
    <row r="13" spans="1:6">
      <c r="F13" s="9" t="s">
        <v>87</v>
      </c>
    </row>
    <row r="14" spans="1:6">
      <c r="F14" s="9" t="s">
        <v>75</v>
      </c>
    </row>
    <row r="15" spans="1:6">
      <c r="F15" s="9" t="s">
        <v>98</v>
      </c>
    </row>
    <row r="16" spans="1:6">
      <c r="F16" s="9" t="s">
        <v>100</v>
      </c>
    </row>
    <row r="17" spans="6:6">
      <c r="F17" s="9" t="s">
        <v>108</v>
      </c>
    </row>
    <row r="18" spans="6:6">
      <c r="F18" s="9" t="s">
        <v>110</v>
      </c>
    </row>
    <row r="19" spans="6:6">
      <c r="F19" s="9" t="s">
        <v>111</v>
      </c>
    </row>
    <row r="20" spans="6:6">
      <c r="F20" s="9" t="s">
        <v>118</v>
      </c>
    </row>
    <row r="21" spans="6:6">
      <c r="F21" s="9" t="s">
        <v>120</v>
      </c>
    </row>
    <row r="22" spans="6:6">
      <c r="F22" s="9" t="s">
        <v>122</v>
      </c>
    </row>
    <row r="23" spans="6:6">
      <c r="F23" s="9" t="s">
        <v>124</v>
      </c>
    </row>
    <row r="24" spans="6:6">
      <c r="F24" s="9" t="s">
        <v>127</v>
      </c>
    </row>
    <row r="25" spans="6:6">
      <c r="F25" s="9" t="s">
        <v>131</v>
      </c>
    </row>
    <row r="26" spans="6:6">
      <c r="F26" s="9" t="s">
        <v>138</v>
      </c>
    </row>
    <row r="27" spans="6:6">
      <c r="F27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2026-06-23T16:35:49Z</dcterms:created>
  <dcterms:modified xsi:type="dcterms:W3CDTF">2026-09-02T09:29:43Z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ac3b47-8de3-48d1-a2d1-704978162e86_Enabled">
    <vt:lpwstr>true</vt:lpwstr>
  </property>
  <property fmtid="{D5CDD505-2E9C-101B-9397-08002B2CF9AE}" pid="3" name="MSIP_Label_a3ac3b47-8de3-48d1-a2d1-704978162e86_SetDate">
    <vt:lpwstr>2026-06-26T07:21:09Z</vt:lpwstr>
  </property>
  <property fmtid="{D5CDD505-2E9C-101B-9397-08002B2CF9AE}" pid="4" name="MSIP_Label_a3ac3b47-8de3-48d1-a2d1-704978162e86_Method">
    <vt:lpwstr>Privileged</vt:lpwstr>
  </property>
  <property fmtid="{D5CDD505-2E9C-101B-9397-08002B2CF9AE}" pid="5" name="MSIP_Label_a3ac3b47-8de3-48d1-a2d1-704978162e86_Name">
    <vt:lpwstr>Public</vt:lpwstr>
  </property>
  <property fmtid="{D5CDD505-2E9C-101B-9397-08002B2CF9AE}" pid="6" name="MSIP_Label_a3ac3b47-8de3-48d1-a2d1-704978162e86_SiteId">
    <vt:lpwstr>4557ea88-75bf-40a4-9ac8-9fe0e0f5765c</vt:lpwstr>
  </property>
  <property fmtid="{D5CDD505-2E9C-101B-9397-08002B2CF9AE}" pid="7" name="MSIP_Label_a3ac3b47-8de3-48d1-a2d1-704978162e86_ActionId">
    <vt:lpwstr>4027f146-c87b-4a06-a396-b0da8f82a131</vt:lpwstr>
  </property>
  <property fmtid="{D5CDD505-2E9C-101B-9397-08002B2CF9AE}" pid="8" name="MSIP_Label_a3ac3b47-8de3-48d1-a2d1-704978162e86_ContentBits">
    <vt:lpwstr>0</vt:lpwstr>
  </property>
  <property fmtid="{D5CDD505-2E9C-101B-9397-08002B2CF9AE}" pid="9" name="MSIP_Label_a3ac3b47-8de3-48d1-a2d1-704978162e86_Tag">
    <vt:lpwstr>10, 0, 1, 1</vt:lpwstr>
  </property>
</Properties>
</file>